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мооценка" sheetId="1" state="visible" r:id="rId1"/>
    <sheet xmlns:r="http://schemas.openxmlformats.org/officeDocument/2006/relationships" name="Сводка по компонентам" sheetId="2" state="visible" r:id="rId2"/>
    <sheet xmlns:r="http://schemas.openxmlformats.org/officeDocument/2006/relationships" name="О шаблон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b val="1"/>
    </font>
    <font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7DB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15" customWidth="1" min="4" max="4"/>
    <col width="8" customWidth="1" min="5" max="5"/>
    <col width="40" customWidth="1" min="6" max="6"/>
    <col width="40" customWidth="1" min="7" max="7"/>
    <col width="20" customWidth="1" min="8" max="8"/>
    <col width="12" customWidth="1" min="9" max="9"/>
  </cols>
  <sheetData>
    <row r="1" ht="54" customHeight="1">
      <c r="A1" s="1" t="inlineStr">
        <is>
          <t>Двадцать принципов COSO ERM 2017 по пяти компонентам, как на странице risk-place.ru/coso-erm/. Пройдите список вместе с руководителями второй линии и выберите одно из трех состояний. Балл: выполняется 2, частично 1, отсутствует 0. Строка 10 заполнена для примера. Принципы с баллом 0 и 1 становятся планом работ на год.</t>
        </is>
      </c>
    </row>
    <row r="3" ht="44" customHeight="1">
      <c r="A3" s="2" t="inlineStr">
        <is>
          <t>№</t>
        </is>
      </c>
      <c r="B3" s="2" t="inlineStr">
        <is>
          <t>Компонент</t>
        </is>
      </c>
      <c r="C3" s="2" t="inlineStr">
        <is>
          <t>Принцип</t>
        </is>
      </c>
      <c r="D3" s="2" t="inlineStr">
        <is>
          <t>Состояние</t>
        </is>
      </c>
      <c r="E3" s="2" t="inlineStr">
        <is>
          <t>Балл</t>
        </is>
      </c>
      <c r="F3" s="2" t="inlineStr">
        <is>
          <t>Чем подтверждается (документ, практика)</t>
        </is>
      </c>
      <c r="G3" s="2" t="inlineStr">
        <is>
          <t>Что сделать</t>
        </is>
      </c>
      <c r="H3" s="2" t="inlineStr">
        <is>
          <t>Ответственный</t>
        </is>
      </c>
      <c r="I3" s="2" t="inlineStr">
        <is>
          <t>Срок</t>
        </is>
      </c>
    </row>
    <row r="4">
      <c r="A4" s="3" t="n">
        <v>1</v>
      </c>
      <c r="B4" s="3" t="inlineStr">
        <is>
          <t>Руководство и культура</t>
        </is>
      </c>
      <c r="C4" s="3" t="inlineStr">
        <is>
          <t>Надзор со стороны совета директоров</t>
        </is>
      </c>
      <c r="D4" s="4" t="inlineStr"/>
      <c r="E4" s="3">
        <f>IF(D4="выполняется",2,IF(D4="частично",1,IF(D4="отсутствует",0,"")))</f>
        <v/>
      </c>
      <c r="F4" s="4" t="inlineStr"/>
      <c r="G4" s="4" t="inlineStr"/>
      <c r="H4" s="4" t="inlineStr"/>
      <c r="I4" s="4" t="inlineStr"/>
    </row>
    <row r="5">
      <c r="A5" s="3" t="n">
        <v>2</v>
      </c>
      <c r="B5" s="3" t="inlineStr">
        <is>
          <t>Руководство и культура</t>
        </is>
      </c>
      <c r="C5" s="3" t="inlineStr">
        <is>
          <t>Организационная структура</t>
        </is>
      </c>
      <c r="D5" s="4" t="inlineStr"/>
      <c r="E5" s="3">
        <f>IF(D5="выполняется",2,IF(D5="частично",1,IF(D5="отсутствует",0,"")))</f>
        <v/>
      </c>
      <c r="F5" s="4" t="inlineStr"/>
      <c r="G5" s="4" t="inlineStr"/>
      <c r="H5" s="4" t="inlineStr"/>
      <c r="I5" s="4" t="inlineStr"/>
    </row>
    <row r="6">
      <c r="A6" s="3" t="n">
        <v>3</v>
      </c>
      <c r="B6" s="3" t="inlineStr">
        <is>
          <t>Руководство и культура</t>
        </is>
      </c>
      <c r="C6" s="3" t="inlineStr">
        <is>
          <t>Требуемая культура</t>
        </is>
      </c>
      <c r="D6" s="4" t="inlineStr"/>
      <c r="E6" s="3">
        <f>IF(D6="выполняется",2,IF(D6="частично",1,IF(D6="отсутствует",0,"")))</f>
        <v/>
      </c>
      <c r="F6" s="4" t="inlineStr"/>
      <c r="G6" s="4" t="inlineStr"/>
      <c r="H6" s="4" t="inlineStr"/>
      <c r="I6" s="4" t="inlineStr"/>
    </row>
    <row r="7">
      <c r="A7" s="3" t="n">
        <v>4</v>
      </c>
      <c r="B7" s="3" t="inlineStr">
        <is>
          <t>Руководство и культура</t>
        </is>
      </c>
      <c r="C7" s="3" t="inlineStr">
        <is>
          <t>Приверженность ценностям</t>
        </is>
      </c>
      <c r="D7" s="4" t="inlineStr"/>
      <c r="E7" s="3">
        <f>IF(D7="выполняется",2,IF(D7="частично",1,IF(D7="отсутствует",0,"")))</f>
        <v/>
      </c>
      <c r="F7" s="4" t="inlineStr"/>
      <c r="G7" s="4" t="inlineStr"/>
      <c r="H7" s="4" t="inlineStr"/>
      <c r="I7" s="4" t="inlineStr"/>
    </row>
    <row r="8">
      <c r="A8" s="3" t="n">
        <v>5</v>
      </c>
      <c r="B8" s="3" t="inlineStr">
        <is>
          <t>Руководство и культура</t>
        </is>
      </c>
      <c r="C8" s="3" t="inlineStr">
        <is>
          <t>Привлечение, развитие и удержание способных сотрудников</t>
        </is>
      </c>
      <c r="D8" s="4" t="inlineStr"/>
      <c r="E8" s="3">
        <f>IF(D8="выполняется",2,IF(D8="частично",1,IF(D8="отсутствует",0,"")))</f>
        <v/>
      </c>
      <c r="F8" s="4" t="inlineStr"/>
      <c r="G8" s="4" t="inlineStr"/>
      <c r="H8" s="4" t="inlineStr"/>
      <c r="I8" s="4" t="inlineStr"/>
    </row>
    <row r="9">
      <c r="A9" s="3" t="n">
        <v>6</v>
      </c>
      <c r="B9" s="3" t="inlineStr">
        <is>
          <t>Стратегия и постановка целей</t>
        </is>
      </c>
      <c r="C9" s="3" t="inlineStr">
        <is>
          <t>Анализ бизнес-контекста</t>
        </is>
      </c>
      <c r="D9" s="4" t="inlineStr"/>
      <c r="E9" s="3">
        <f>IF(D9="выполняется",2,IF(D9="частично",1,IF(D9="отсутствует",0,"")))</f>
        <v/>
      </c>
      <c r="F9" s="4" t="inlineStr"/>
      <c r="G9" s="4" t="inlineStr"/>
      <c r="H9" s="4" t="inlineStr"/>
      <c r="I9" s="4" t="inlineStr"/>
    </row>
    <row r="10">
      <c r="A10" s="3" t="n">
        <v>7</v>
      </c>
      <c r="B10" s="3" t="inlineStr">
        <is>
          <t>Стратегия и постановка целей</t>
        </is>
      </c>
      <c r="C10" s="3" t="inlineStr">
        <is>
          <t>Определение риск-аппетита</t>
        </is>
      </c>
      <c r="D10" s="4" t="inlineStr"/>
      <c r="E10" s="3">
        <f>IF(D10="выполняется",2,IF(D10="частично",1,IF(D10="отсутствует",0,"")))</f>
        <v/>
      </c>
      <c r="F10" s="4" t="inlineStr"/>
      <c r="G10" s="4" t="inlineStr"/>
      <c r="H10" s="4" t="inlineStr"/>
      <c r="I10" s="4" t="inlineStr"/>
    </row>
    <row r="11">
      <c r="A11" s="3" t="n">
        <v>8</v>
      </c>
      <c r="B11" s="3" t="inlineStr">
        <is>
          <t>Стратегия и постановка целей</t>
        </is>
      </c>
      <c r="C11" s="3" t="inlineStr">
        <is>
          <t>Оценка альтернативных стратегий</t>
        </is>
      </c>
      <c r="D11" s="4" t="inlineStr"/>
      <c r="E11" s="3">
        <f>IF(D11="выполняется",2,IF(D11="частично",1,IF(D11="отсутствует",0,"")))</f>
        <v/>
      </c>
      <c r="F11" s="4" t="inlineStr"/>
      <c r="G11" s="4" t="inlineStr"/>
      <c r="H11" s="4" t="inlineStr"/>
      <c r="I11" s="4" t="inlineStr"/>
    </row>
    <row r="12">
      <c r="A12" s="3" t="n">
        <v>9</v>
      </c>
      <c r="B12" s="3" t="inlineStr">
        <is>
          <t>Стратегия и постановка целей</t>
        </is>
      </c>
      <c r="C12" s="3" t="inlineStr">
        <is>
          <t>Формулирование целей деятельности</t>
        </is>
      </c>
      <c r="D12" s="4" t="inlineStr"/>
      <c r="E12" s="3">
        <f>IF(D12="выполняется",2,IF(D12="частично",1,IF(D12="отсутствует",0,"")))</f>
        <v/>
      </c>
      <c r="F12" s="4" t="inlineStr"/>
      <c r="G12" s="4" t="inlineStr"/>
      <c r="H12" s="4" t="inlineStr"/>
      <c r="I12" s="4" t="inlineStr"/>
    </row>
    <row r="13">
      <c r="A13" s="5" t="n">
        <v>10</v>
      </c>
      <c r="B13" s="5" t="inlineStr">
        <is>
          <t>Результативность</t>
        </is>
      </c>
      <c r="C13" s="5" t="inlineStr">
        <is>
          <t>Выявление рисков</t>
        </is>
      </c>
      <c r="D13" s="5" t="inlineStr">
        <is>
          <t>выполняется</t>
        </is>
      </c>
      <c r="E13" s="5">
        <f>IF(D13="выполняется",2,IF(D13="частично",1,IF(D13="отсутствует",0,"")))</f>
        <v/>
      </c>
      <c r="F13" s="5" t="inlineStr">
        <is>
          <t>Реестр рисков, риск-сессии раз в квартал, протоколы</t>
        </is>
      </c>
      <c r="G13" s="5" t="inlineStr">
        <is>
          <t>Добавить выявление рисков при запуске каждого крупного проекта</t>
        </is>
      </c>
      <c r="H13" s="5" t="inlineStr">
        <is>
          <t>Руководитель службы рисков</t>
        </is>
      </c>
      <c r="I13" s="5" t="inlineStr">
        <is>
          <t>31.03.2027</t>
        </is>
      </c>
    </row>
    <row r="14">
      <c r="A14" s="3" t="n">
        <v>11</v>
      </c>
      <c r="B14" s="3" t="inlineStr">
        <is>
          <t>Результативность</t>
        </is>
      </c>
      <c r="C14" s="3" t="inlineStr">
        <is>
          <t>Оценка серьезности риска</t>
        </is>
      </c>
      <c r="D14" s="4" t="inlineStr"/>
      <c r="E14" s="3">
        <f>IF(D14="выполняется",2,IF(D14="частично",1,IF(D14="отсутствует",0,"")))</f>
        <v/>
      </c>
      <c r="F14" s="4" t="inlineStr"/>
      <c r="G14" s="4" t="inlineStr"/>
      <c r="H14" s="4" t="inlineStr"/>
      <c r="I14" s="4" t="inlineStr"/>
    </row>
    <row r="15">
      <c r="A15" s="3" t="n">
        <v>12</v>
      </c>
      <c r="B15" s="3" t="inlineStr">
        <is>
          <t>Результативность</t>
        </is>
      </c>
      <c r="C15" s="3" t="inlineStr">
        <is>
          <t>Приоритизация рисков</t>
        </is>
      </c>
      <c r="D15" s="4" t="inlineStr"/>
      <c r="E15" s="3">
        <f>IF(D15="выполняется",2,IF(D15="частично",1,IF(D15="отсутствует",0,"")))</f>
        <v/>
      </c>
      <c r="F15" s="4" t="inlineStr"/>
      <c r="G15" s="4" t="inlineStr"/>
      <c r="H15" s="4" t="inlineStr"/>
      <c r="I15" s="4" t="inlineStr"/>
    </row>
    <row r="16">
      <c r="A16" s="3" t="n">
        <v>13</v>
      </c>
      <c r="B16" s="3" t="inlineStr">
        <is>
          <t>Результативность</t>
        </is>
      </c>
      <c r="C16" s="3" t="inlineStr">
        <is>
          <t>Реагирование на риски</t>
        </is>
      </c>
      <c r="D16" s="4" t="inlineStr"/>
      <c r="E16" s="3">
        <f>IF(D16="выполняется",2,IF(D16="частично",1,IF(D16="отсутствует",0,"")))</f>
        <v/>
      </c>
      <c r="F16" s="4" t="inlineStr"/>
      <c r="G16" s="4" t="inlineStr"/>
      <c r="H16" s="4" t="inlineStr"/>
      <c r="I16" s="4" t="inlineStr"/>
    </row>
    <row r="17">
      <c r="A17" s="3" t="n">
        <v>14</v>
      </c>
      <c r="B17" s="3" t="inlineStr">
        <is>
          <t>Результативность</t>
        </is>
      </c>
      <c r="C17" s="3" t="inlineStr">
        <is>
          <t>Портфельный взгляд</t>
        </is>
      </c>
      <c r="D17" s="4" t="inlineStr"/>
      <c r="E17" s="3">
        <f>IF(D17="выполняется",2,IF(D17="частично",1,IF(D17="отсутствует",0,"")))</f>
        <v/>
      </c>
      <c r="F17" s="4" t="inlineStr"/>
      <c r="G17" s="4" t="inlineStr"/>
      <c r="H17" s="4" t="inlineStr"/>
      <c r="I17" s="4" t="inlineStr"/>
    </row>
    <row r="18">
      <c r="A18" s="3" t="n">
        <v>15</v>
      </c>
      <c r="B18" s="3" t="inlineStr">
        <is>
          <t>Анализ и пересмотр</t>
        </is>
      </c>
      <c r="C18" s="3" t="inlineStr">
        <is>
          <t>Оценка существенных изменений</t>
        </is>
      </c>
      <c r="D18" s="4" t="inlineStr"/>
      <c r="E18" s="3">
        <f>IF(D18="выполняется",2,IF(D18="частично",1,IF(D18="отсутствует",0,"")))</f>
        <v/>
      </c>
      <c r="F18" s="4" t="inlineStr"/>
      <c r="G18" s="4" t="inlineStr"/>
      <c r="H18" s="4" t="inlineStr"/>
      <c r="I18" s="4" t="inlineStr"/>
    </row>
    <row r="19">
      <c r="A19" s="3" t="n">
        <v>16</v>
      </c>
      <c r="B19" s="3" t="inlineStr">
        <is>
          <t>Анализ и пересмотр</t>
        </is>
      </c>
      <c r="C19" s="3" t="inlineStr">
        <is>
          <t>Анализ рисков и результативности</t>
        </is>
      </c>
      <c r="D19" s="4" t="inlineStr"/>
      <c r="E19" s="3">
        <f>IF(D19="выполняется",2,IF(D19="частично",1,IF(D19="отсутствует",0,"")))</f>
        <v/>
      </c>
      <c r="F19" s="4" t="inlineStr"/>
      <c r="G19" s="4" t="inlineStr"/>
      <c r="H19" s="4" t="inlineStr"/>
      <c r="I19" s="4" t="inlineStr"/>
    </row>
    <row r="20">
      <c r="A20" s="3" t="n">
        <v>17</v>
      </c>
      <c r="B20" s="3" t="inlineStr">
        <is>
          <t>Анализ и пересмотр</t>
        </is>
      </c>
      <c r="C20" s="3" t="inlineStr">
        <is>
          <t>Совершенствование управления рисками</t>
        </is>
      </c>
      <c r="D20" s="4" t="inlineStr"/>
      <c r="E20" s="3">
        <f>IF(D20="выполняется",2,IF(D20="частично",1,IF(D20="отсутствует",0,"")))</f>
        <v/>
      </c>
      <c r="F20" s="4" t="inlineStr"/>
      <c r="G20" s="4" t="inlineStr"/>
      <c r="H20" s="4" t="inlineStr"/>
      <c r="I20" s="4" t="inlineStr"/>
    </row>
    <row r="21">
      <c r="A21" s="3" t="n">
        <v>18</v>
      </c>
      <c r="B21" s="3" t="inlineStr">
        <is>
          <t>Информация, коммуникация и отчетность</t>
        </is>
      </c>
      <c r="C21" s="3" t="inlineStr">
        <is>
          <t>Использование информации и технологий</t>
        </is>
      </c>
      <c r="D21" s="4" t="inlineStr"/>
      <c r="E21" s="3">
        <f>IF(D21="выполняется",2,IF(D21="частично",1,IF(D21="отсутствует",0,"")))</f>
        <v/>
      </c>
      <c r="F21" s="4" t="inlineStr"/>
      <c r="G21" s="4" t="inlineStr"/>
      <c r="H21" s="4" t="inlineStr"/>
      <c r="I21" s="4" t="inlineStr"/>
    </row>
    <row r="22">
      <c r="A22" s="3" t="n">
        <v>19</v>
      </c>
      <c r="B22" s="3" t="inlineStr">
        <is>
          <t>Информация, коммуникация и отчетность</t>
        </is>
      </c>
      <c r="C22" s="3" t="inlineStr">
        <is>
          <t>Информирование о рисках</t>
        </is>
      </c>
      <c r="D22" s="4" t="inlineStr"/>
      <c r="E22" s="3">
        <f>IF(D22="выполняется",2,IF(D22="частично",1,IF(D22="отсутствует",0,"")))</f>
        <v/>
      </c>
      <c r="F22" s="4" t="inlineStr"/>
      <c r="G22" s="4" t="inlineStr"/>
      <c r="H22" s="4" t="inlineStr"/>
      <c r="I22" s="4" t="inlineStr"/>
    </row>
    <row r="23">
      <c r="A23" s="3" t="n">
        <v>20</v>
      </c>
      <c r="B23" s="3" t="inlineStr">
        <is>
          <t>Информация, коммуникация и отчетность</t>
        </is>
      </c>
      <c r="C23" s="3" t="inlineStr">
        <is>
          <t>Отчетность о рисках, культуре и результативности</t>
        </is>
      </c>
      <c r="D23" s="4" t="inlineStr"/>
      <c r="E23" s="3">
        <f>IF(D23="выполняется",2,IF(D23="частично",1,IF(D23="отсутствует",0,"")))</f>
        <v/>
      </c>
      <c r="F23" s="4" t="inlineStr"/>
      <c r="G23" s="4" t="inlineStr"/>
      <c r="H23" s="4" t="inlineStr"/>
      <c r="I23" s="4" t="inlineStr"/>
    </row>
  </sheetData>
  <mergeCells count="1">
    <mergeCell ref="A1:I1"/>
  </mergeCells>
  <conditionalFormatting sqref="D4:D23">
    <cfRule type="expression" priority="1" dxfId="0">
      <formula>ISNUMBER(SEARCH("отсутствует",D4))</formula>
    </cfRule>
    <cfRule type="expression" priority="2" dxfId="1">
      <formula>ISNUMBER(SEARCH("частично",D4))</formula>
    </cfRule>
  </conditionalFormatting>
  <dataValidations count="1">
    <dataValidation sqref="D4:D23" showDropDown="0" showInputMessage="0" showErrorMessage="0" allowBlank="1" type="list">
      <formula1>"выполняется,частично,отсутствует"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0" customWidth="1" min="3" max="3"/>
    <col width="8" customWidth="1" min="4" max="4"/>
    <col width="10" customWidth="1" min="5" max="5"/>
    <col width="14" customWidth="1" min="6" max="6"/>
    <col width="30" customWidth="1" min="7" max="7"/>
  </cols>
  <sheetData>
    <row r="1">
      <c r="A1" s="6" t="inlineStr">
        <is>
          <t>Компонент</t>
        </is>
      </c>
      <c r="B1" s="6" t="inlineStr">
        <is>
          <t>Принципов</t>
        </is>
      </c>
      <c r="C1" s="6" t="inlineStr">
        <is>
          <t>Оценено</t>
        </is>
      </c>
      <c r="D1" s="6" t="inlineStr">
        <is>
          <t>Балл</t>
        </is>
      </c>
      <c r="E1" s="6" t="inlineStr">
        <is>
          <t>Максимум</t>
        </is>
      </c>
      <c r="F1" s="6" t="inlineStr">
        <is>
          <t>Выполнение, %</t>
        </is>
      </c>
      <c r="G1" s="6" t="inlineStr">
        <is>
          <t>Вывод</t>
        </is>
      </c>
    </row>
    <row r="2">
      <c r="A2" s="7" t="inlineStr">
        <is>
          <t>Руководство и культура</t>
        </is>
      </c>
      <c r="B2" s="7" t="n">
        <v>5</v>
      </c>
      <c r="C2" s="7">
        <f>COUNTIFS('Самооценка'!B4:B23,A2,'Самооценка'!D4:D23,"&lt;&gt;")</f>
        <v/>
      </c>
      <c r="D2" s="7">
        <f>SUMIF('Самооценка'!B4:B23,A2,'Самооценка'!E4:E23)</f>
        <v/>
      </c>
      <c r="E2" s="7">
        <f>B2*2</f>
        <v/>
      </c>
      <c r="F2" s="7">
        <f>IF(C2=0,"",ROUND(D2/(C2*2)*100,0))</f>
        <v/>
      </c>
      <c r="G2" s="7">
        <f>IF(F2="","не оценено",IF(F2&lt;50,"провал: в план работ на год",IF(F2&lt;80,"частично: доработать","закрыт")))</f>
        <v/>
      </c>
    </row>
    <row r="3">
      <c r="A3" s="7" t="inlineStr">
        <is>
          <t>Стратегия и постановка целей</t>
        </is>
      </c>
      <c r="B3" s="7" t="n">
        <v>4</v>
      </c>
      <c r="C3" s="7">
        <f>COUNTIFS('Самооценка'!B4:B23,A3,'Самооценка'!D4:D23,"&lt;&gt;")</f>
        <v/>
      </c>
      <c r="D3" s="7">
        <f>SUMIF('Самооценка'!B4:B23,A3,'Самооценка'!E4:E23)</f>
        <v/>
      </c>
      <c r="E3" s="7">
        <f>B3*2</f>
        <v/>
      </c>
      <c r="F3" s="7">
        <f>IF(C3=0,"",ROUND(D3/(C3*2)*100,0))</f>
        <v/>
      </c>
      <c r="G3" s="7">
        <f>IF(F3="","не оценено",IF(F3&lt;50,"провал: в план работ на год",IF(F3&lt;80,"частично: доработать","закрыт")))</f>
        <v/>
      </c>
    </row>
    <row r="4">
      <c r="A4" s="7" t="inlineStr">
        <is>
          <t>Результативность</t>
        </is>
      </c>
      <c r="B4" s="7" t="n">
        <v>5</v>
      </c>
      <c r="C4" s="7">
        <f>COUNTIFS('Самооценка'!B4:B23,A4,'Самооценка'!D4:D23,"&lt;&gt;")</f>
        <v/>
      </c>
      <c r="D4" s="7">
        <f>SUMIF('Самооценка'!B4:B23,A4,'Самооценка'!E4:E23)</f>
        <v/>
      </c>
      <c r="E4" s="7">
        <f>B4*2</f>
        <v/>
      </c>
      <c r="F4" s="7">
        <f>IF(C4=0,"",ROUND(D4/(C4*2)*100,0))</f>
        <v/>
      </c>
      <c r="G4" s="7">
        <f>IF(F4="","не оценено",IF(F4&lt;50,"провал: в план работ на год",IF(F4&lt;80,"частично: доработать","закрыт")))</f>
        <v/>
      </c>
    </row>
    <row r="5">
      <c r="A5" s="7" t="inlineStr">
        <is>
          <t>Анализ и пересмотр</t>
        </is>
      </c>
      <c r="B5" s="7" t="n">
        <v>3</v>
      </c>
      <c r="C5" s="7">
        <f>COUNTIFS('Самооценка'!B4:B23,A5,'Самооценка'!D4:D23,"&lt;&gt;")</f>
        <v/>
      </c>
      <c r="D5" s="7">
        <f>SUMIF('Самооценка'!B4:B23,A5,'Самооценка'!E4:E23)</f>
        <v/>
      </c>
      <c r="E5" s="7">
        <f>B5*2</f>
        <v/>
      </c>
      <c r="F5" s="7">
        <f>IF(C5=0,"",ROUND(D5/(C5*2)*100,0))</f>
        <v/>
      </c>
      <c r="G5" s="7">
        <f>IF(F5="","не оценено",IF(F5&lt;50,"провал: в план работ на год",IF(F5&lt;80,"частично: доработать","закрыт")))</f>
        <v/>
      </c>
    </row>
    <row r="6">
      <c r="A6" s="7" t="inlineStr">
        <is>
          <t>Информация, коммуникация и отчетность</t>
        </is>
      </c>
      <c r="B6" s="7" t="n">
        <v>3</v>
      </c>
      <c r="C6" s="7">
        <f>COUNTIFS('Самооценка'!B4:B23,A6,'Самооценка'!D4:D23,"&lt;&gt;")</f>
        <v/>
      </c>
      <c r="D6" s="7">
        <f>SUMIF('Самооценка'!B4:B23,A6,'Самооценка'!E4:E23)</f>
        <v/>
      </c>
      <c r="E6" s="7">
        <f>B6*2</f>
        <v/>
      </c>
      <c r="F6" s="7">
        <f>IF(C6=0,"",ROUND(D6/(C6*2)*100,0))</f>
        <v/>
      </c>
      <c r="G6" s="7">
        <f>IF(F6="","не оценено",IF(F6&lt;50,"провал: в план работ на год",IF(F6&lt;80,"частично: доработать","закрыт")))</f>
        <v/>
      </c>
    </row>
    <row r="7">
      <c r="A7" s="8" t="inlineStr">
        <is>
          <t>Итого</t>
        </is>
      </c>
      <c r="B7" s="9">
        <f>SUM(B2:B6)</f>
        <v/>
      </c>
      <c r="C7" s="9">
        <f>SUM(C2:C6)</f>
        <v/>
      </c>
      <c r="D7" s="9">
        <f>SUM(D2:D6)</f>
        <v/>
      </c>
      <c r="E7" s="9">
        <f>SUM(E2:E6)</f>
        <v/>
      </c>
      <c r="F7" s="9">
        <f>IF(C7=0,"",ROUND(D7/(C7*2)*100,0))</f>
        <v/>
      </c>
      <c r="G7" s="9" t="n"/>
    </row>
    <row r="9">
      <c r="A9" s="10" t="inlineStr">
        <is>
          <t>Чаще всего «Результативность» закрыта неплохо, а провалы в первом, втором и пятом компонентах: культура, риск-аппетит, связь со стратегией и отчетность. Процент считается только по оцененным принципам.</t>
        </is>
      </c>
    </row>
  </sheetData>
  <conditionalFormatting sqref="G2:G6">
    <cfRule type="expression" priority="1" dxfId="0">
      <formula>ISNUMBER(SEARCH("провал",G2))</formula>
    </cfRule>
    <cfRule type="expression" priority="2" dxfId="1">
      <formula>ISNUMBER(SEARCH("частично",G2))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Шаблон подготовлен risk-place.ru. Свободное использование внутри организации. Версия от 23.10.2026.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2026-10-23T12:53:37Z</dcterms:created>
  <dcterms:modified xmlns:dcterms="http://purl.org/dc/terms/" xmlns:xsi="http://www.w3.org/2001/XMLSchema-instance" xsi:type="dcterms:W3CDTF">2026-10-23T12:53:37Z</dcterms:modified>
</cp:coreProperties>
</file>