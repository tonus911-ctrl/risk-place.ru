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Шкалы" sheetId="2" state="visible" r:id="rId2"/>
    <sheet xmlns:r="http://schemas.openxmlformats.org/officeDocument/2006/relationships" name="Правила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0666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1" customWidth="1" min="4" max="4"/>
    <col width="11" customWidth="1" min="5" max="5"/>
    <col width="10" customWidth="1" min="6" max="6"/>
    <col width="34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0" customWidth="1" min="16" max="16"/>
    <col width="30" customWidth="1" min="17" max="17"/>
    <col width="11" customWidth="1" min="18" max="18"/>
    <col width="22" customWidth="1" min="19" max="19"/>
    <col width="12" customWidth="1" min="20" max="20"/>
  </cols>
  <sheetData>
    <row r="1" ht="42" customHeight="1">
      <c r="A1" s="1" t="inlineStr">
        <is>
          <t>Первая строка — пример со страницы risk-place.ru/ostatochnyj-risk/. Вероятность и влияние — числа от 1 до 5 по листу «Шкалы». Уровень = вероятность × влияние. Текущий остаточный уровень учитывает только меры, которые проверены и работают; целевой — после запланированных мер. Аппетит — максимальный уровень, который компания готова держать по этому риску.</t>
        </is>
      </c>
    </row>
    <row r="3" ht="44" customHeight="1">
      <c r="A3" s="2" t="inlineStr">
        <is>
          <t>№</t>
        </is>
      </c>
      <c r="B3" s="2" t="inlineStr">
        <is>
          <t>Риск</t>
        </is>
      </c>
      <c r="C3" s="2" t="inlineStr">
        <is>
          <t>Владелец</t>
        </is>
      </c>
      <c r="D3" s="2" t="inlineStr">
        <is>
          <t>Присущая вероятность</t>
        </is>
      </c>
      <c r="E3" s="2" t="inlineStr">
        <is>
          <t>Присущее влияние</t>
        </is>
      </c>
      <c r="F3" s="2" t="inlineStr">
        <is>
          <t>Присущий уровень</t>
        </is>
      </c>
      <c r="G3" s="2" t="inlineStr">
        <is>
          <t>Действующие меры</t>
        </is>
      </c>
      <c r="H3" s="2" t="inlineStr">
        <is>
          <t>Мера проверена (дата)</t>
        </is>
      </c>
      <c r="I3" s="2" t="inlineStr">
        <is>
          <t>Текущая вероятность</t>
        </is>
      </c>
      <c r="J3" s="2" t="inlineStr">
        <is>
          <t>Текущее влияние</t>
        </is>
      </c>
      <c r="K3" s="2" t="inlineStr">
        <is>
          <t>Текущий остаточный уровень</t>
        </is>
      </c>
      <c r="L3" s="2" t="inlineStr">
        <is>
          <t>Зона</t>
        </is>
      </c>
      <c r="M3" s="2" t="inlineStr">
        <is>
          <t>Снято мерами, %</t>
        </is>
      </c>
      <c r="N3" s="2" t="inlineStr">
        <is>
          <t>Целевая вероятность</t>
        </is>
      </c>
      <c r="O3" s="2" t="inlineStr">
        <is>
          <t>Целевое влияние</t>
        </is>
      </c>
      <c r="P3" s="2" t="inlineStr">
        <is>
          <t>Целевой уровень</t>
        </is>
      </c>
      <c r="Q3" s="2" t="inlineStr">
        <is>
          <t>Запланированные меры и срок</t>
        </is>
      </c>
      <c r="R3" s="2" t="inlineStr">
        <is>
          <t>Аппетит (порог уровня)</t>
        </is>
      </c>
      <c r="S3" s="2" t="inlineStr">
        <is>
          <t>Сравнение с аппетитом</t>
        </is>
      </c>
      <c r="T3" s="2" t="inlineStr">
        <is>
          <t>Дата оценки</t>
        </is>
      </c>
    </row>
    <row r="4">
      <c r="A4" s="3" t="n">
        <v>1</v>
      </c>
      <c r="B4" s="3" t="inlineStr">
        <is>
          <t>Остановка производства из-за отказа единственного поставщика упаковки</t>
        </is>
      </c>
      <c r="C4" s="3" t="inlineStr">
        <is>
          <t>Директор по закупкам</t>
        </is>
      </c>
      <c r="D4" s="3" t="n">
        <v>4</v>
      </c>
      <c r="E4" s="3" t="n">
        <v>5</v>
      </c>
      <c r="F4" s="3">
        <f>IF(D4*E4=0,"",D4*E4)</f>
        <v/>
      </c>
      <c r="G4" s="3" t="inlineStr">
        <is>
          <t>Склад упаковки увеличен до 14 суток; в договоре ответственность поставщика за срыв</t>
        </is>
      </c>
      <c r="H4" s="3" t="inlineStr">
        <is>
          <t>01.10.2026</t>
        </is>
      </c>
      <c r="I4" s="3" t="n">
        <v>3</v>
      </c>
      <c r="J4" s="3" t="n">
        <v>3</v>
      </c>
      <c r="K4" s="3">
        <f>IF(I4*J4=0,"",I4*J4)</f>
        <v/>
      </c>
      <c r="L4" s="3">
        <f>IF(K4="","",IF(K4&gt;=15,"красная",IF(K4&gt;=10,"оранжевая",IF(K4&gt;=5,"желтая","зеленая"))))</f>
        <v/>
      </c>
      <c r="M4" s="3">
        <f>IF(OR(F4="",K4=""),"",ROUND((1-K4/F4)*100,0))</f>
        <v/>
      </c>
      <c r="N4" s="3" t="n">
        <v>2</v>
      </c>
      <c r="O4" s="3" t="n">
        <v>3</v>
      </c>
      <c r="P4" s="3">
        <f>IF(N4*O4=0,"",N4*O4)</f>
        <v/>
      </c>
      <c r="Q4" s="3" t="inlineStr">
        <is>
          <t>Квалификация второго поставщика до 31.12.2026</t>
        </is>
      </c>
      <c r="R4" s="3" t="n">
        <v>6</v>
      </c>
      <c r="S4" s="3">
        <f>IF(OR(K4="",R4=""),"",IF(K4&gt;R4,"выше аппетита: решение комитета","в пределах аппетита"))</f>
        <v/>
      </c>
      <c r="T4" s="3" t="inlineStr">
        <is>
          <t>01.10.2026</t>
        </is>
      </c>
    </row>
    <row r="5">
      <c r="A5" s="4" t="n">
        <v>2</v>
      </c>
      <c r="B5" s="4" t="inlineStr"/>
      <c r="C5" s="4" t="inlineStr"/>
      <c r="D5" s="4" t="inlineStr"/>
      <c r="E5" s="4" t="inlineStr"/>
      <c r="F5" s="4">
        <f>IF(D5*E5=0,"",D5*E5)</f>
        <v/>
      </c>
      <c r="G5" s="4" t="inlineStr"/>
      <c r="H5" s="4" t="inlineStr"/>
      <c r="I5" s="4" t="inlineStr"/>
      <c r="J5" s="4" t="inlineStr"/>
      <c r="K5" s="4">
        <f>IF(I5*J5=0,"",I5*J5)</f>
        <v/>
      </c>
      <c r="L5" s="4">
        <f>IF(K5="","",IF(K5&gt;=15,"красная",IF(K5&gt;=10,"оранжевая",IF(K5&gt;=5,"желтая","зеленая"))))</f>
        <v/>
      </c>
      <c r="M5" s="4">
        <f>IF(OR(F5="",K5=""),"",ROUND((1-K5/F5)*100,0))</f>
        <v/>
      </c>
      <c r="N5" s="4" t="inlineStr"/>
      <c r="O5" s="4" t="inlineStr"/>
      <c r="P5" s="4">
        <f>IF(N5*O5=0,"",N5*O5)</f>
        <v/>
      </c>
      <c r="Q5" s="4" t="inlineStr"/>
      <c r="R5" s="4" t="inlineStr"/>
      <c r="S5" s="4">
        <f>IF(OR(K5="",R5=""),"",IF(K5&gt;R5,"выше аппетита: решение комитета","в пределах аппетита"))</f>
        <v/>
      </c>
      <c r="T5" s="4" t="inlineStr"/>
    </row>
    <row r="6">
      <c r="A6" s="4" t="n">
        <v>3</v>
      </c>
      <c r="B6" s="4" t="inlineStr"/>
      <c r="C6" s="4" t="inlineStr"/>
      <c r="D6" s="4" t="inlineStr"/>
      <c r="E6" s="4" t="inlineStr"/>
      <c r="F6" s="4">
        <f>IF(D6*E6=0,"",D6*E6)</f>
        <v/>
      </c>
      <c r="G6" s="4" t="inlineStr"/>
      <c r="H6" s="4" t="inlineStr"/>
      <c r="I6" s="4" t="inlineStr"/>
      <c r="J6" s="4" t="inlineStr"/>
      <c r="K6" s="4">
        <f>IF(I6*J6=0,"",I6*J6)</f>
        <v/>
      </c>
      <c r="L6" s="4">
        <f>IF(K6="","",IF(K6&gt;=15,"красная",IF(K6&gt;=10,"оранжевая",IF(K6&gt;=5,"желтая","зеленая"))))</f>
        <v/>
      </c>
      <c r="M6" s="4">
        <f>IF(OR(F6="",K6=""),"",ROUND((1-K6/F6)*100,0))</f>
        <v/>
      </c>
      <c r="N6" s="4" t="inlineStr"/>
      <c r="O6" s="4" t="inlineStr"/>
      <c r="P6" s="4">
        <f>IF(N6*O6=0,"",N6*O6)</f>
        <v/>
      </c>
      <c r="Q6" s="4" t="inlineStr"/>
      <c r="R6" s="4" t="inlineStr"/>
      <c r="S6" s="4">
        <f>IF(OR(K6="",R6=""),"",IF(K6&gt;R6,"выше аппетита: решение комитета","в пределах аппетита"))</f>
        <v/>
      </c>
      <c r="T6" s="4" t="inlineStr"/>
    </row>
    <row r="7">
      <c r="A7" s="4" t="n">
        <v>4</v>
      </c>
      <c r="B7" s="4" t="inlineStr"/>
      <c r="C7" s="4" t="inlineStr"/>
      <c r="D7" s="4" t="inlineStr"/>
      <c r="E7" s="4" t="inlineStr"/>
      <c r="F7" s="4">
        <f>IF(D7*E7=0,"",D7*E7)</f>
        <v/>
      </c>
      <c r="G7" s="4" t="inlineStr"/>
      <c r="H7" s="4" t="inlineStr"/>
      <c r="I7" s="4" t="inlineStr"/>
      <c r="J7" s="4" t="inlineStr"/>
      <c r="K7" s="4">
        <f>IF(I7*J7=0,"",I7*J7)</f>
        <v/>
      </c>
      <c r="L7" s="4">
        <f>IF(K7="","",IF(K7&gt;=15,"красная",IF(K7&gt;=10,"оранжевая",IF(K7&gt;=5,"желтая","зеленая"))))</f>
        <v/>
      </c>
      <c r="M7" s="4">
        <f>IF(OR(F7="",K7=""),"",ROUND((1-K7/F7)*100,0))</f>
        <v/>
      </c>
      <c r="N7" s="4" t="inlineStr"/>
      <c r="O7" s="4" t="inlineStr"/>
      <c r="P7" s="4">
        <f>IF(N7*O7=0,"",N7*O7)</f>
        <v/>
      </c>
      <c r="Q7" s="4" t="inlineStr"/>
      <c r="R7" s="4" t="inlineStr"/>
      <c r="S7" s="4">
        <f>IF(OR(K7="",R7=""),"",IF(K7&gt;R7,"выше аппетита: решение комитета","в пределах аппетита"))</f>
        <v/>
      </c>
      <c r="T7" s="4" t="inlineStr"/>
    </row>
    <row r="8">
      <c r="A8" s="4" t="n">
        <v>5</v>
      </c>
      <c r="B8" s="4" t="inlineStr"/>
      <c r="C8" s="4" t="inlineStr"/>
      <c r="D8" s="4" t="inlineStr"/>
      <c r="E8" s="4" t="inlineStr"/>
      <c r="F8" s="4">
        <f>IF(D8*E8=0,"",D8*E8)</f>
        <v/>
      </c>
      <c r="G8" s="4" t="inlineStr"/>
      <c r="H8" s="4" t="inlineStr"/>
      <c r="I8" s="4" t="inlineStr"/>
      <c r="J8" s="4" t="inlineStr"/>
      <c r="K8" s="4">
        <f>IF(I8*J8=0,"",I8*J8)</f>
        <v/>
      </c>
      <c r="L8" s="4">
        <f>IF(K8="","",IF(K8&gt;=15,"красная",IF(K8&gt;=10,"оранжевая",IF(K8&gt;=5,"желтая","зеленая"))))</f>
        <v/>
      </c>
      <c r="M8" s="4">
        <f>IF(OR(F8="",K8=""),"",ROUND((1-K8/F8)*100,0))</f>
        <v/>
      </c>
      <c r="N8" s="4" t="inlineStr"/>
      <c r="O8" s="4" t="inlineStr"/>
      <c r="P8" s="4">
        <f>IF(N8*O8=0,"",N8*O8)</f>
        <v/>
      </c>
      <c r="Q8" s="4" t="inlineStr"/>
      <c r="R8" s="4" t="inlineStr"/>
      <c r="S8" s="4">
        <f>IF(OR(K8="",R8=""),"",IF(K8&gt;R8,"выше аппетита: решение комитета","в пределах аппетита"))</f>
        <v/>
      </c>
      <c r="T8" s="4" t="inlineStr"/>
    </row>
    <row r="9">
      <c r="A9" s="4" t="n">
        <v>6</v>
      </c>
      <c r="B9" s="4" t="inlineStr"/>
      <c r="C9" s="4" t="inlineStr"/>
      <c r="D9" s="4" t="inlineStr"/>
      <c r="E9" s="4" t="inlineStr"/>
      <c r="F9" s="4">
        <f>IF(D9*E9=0,"",D9*E9)</f>
        <v/>
      </c>
      <c r="G9" s="4" t="inlineStr"/>
      <c r="H9" s="4" t="inlineStr"/>
      <c r="I9" s="4" t="inlineStr"/>
      <c r="J9" s="4" t="inlineStr"/>
      <c r="K9" s="4">
        <f>IF(I9*J9=0,"",I9*J9)</f>
        <v/>
      </c>
      <c r="L9" s="4">
        <f>IF(K9="","",IF(K9&gt;=15,"красная",IF(K9&gt;=10,"оранжевая",IF(K9&gt;=5,"желтая","зеленая"))))</f>
        <v/>
      </c>
      <c r="M9" s="4">
        <f>IF(OR(F9="",K9=""),"",ROUND((1-K9/F9)*100,0))</f>
        <v/>
      </c>
      <c r="N9" s="4" t="inlineStr"/>
      <c r="O9" s="4" t="inlineStr"/>
      <c r="P9" s="4">
        <f>IF(N9*O9=0,"",N9*O9)</f>
        <v/>
      </c>
      <c r="Q9" s="4" t="inlineStr"/>
      <c r="R9" s="4" t="inlineStr"/>
      <c r="S9" s="4">
        <f>IF(OR(K9="",R9=""),"",IF(K9&gt;R9,"выше аппетита: решение комитета","в пределах аппетита"))</f>
        <v/>
      </c>
      <c r="T9" s="4" t="inlineStr"/>
    </row>
    <row r="10">
      <c r="A10" s="4" t="n">
        <v>7</v>
      </c>
      <c r="B10" s="4" t="inlineStr"/>
      <c r="C10" s="4" t="inlineStr"/>
      <c r="D10" s="4" t="inlineStr"/>
      <c r="E10" s="4" t="inlineStr"/>
      <c r="F10" s="4">
        <f>IF(D10*E10=0,"",D10*E10)</f>
        <v/>
      </c>
      <c r="G10" s="4" t="inlineStr"/>
      <c r="H10" s="4" t="inlineStr"/>
      <c r="I10" s="4" t="inlineStr"/>
      <c r="J10" s="4" t="inlineStr"/>
      <c r="K10" s="4">
        <f>IF(I10*J10=0,"",I10*J10)</f>
        <v/>
      </c>
      <c r="L10" s="4">
        <f>IF(K10="","",IF(K10&gt;=15,"красная",IF(K10&gt;=10,"оранжевая",IF(K10&gt;=5,"желтая","зеленая"))))</f>
        <v/>
      </c>
      <c r="M10" s="4">
        <f>IF(OR(F10="",K10=""),"",ROUND((1-K10/F10)*100,0))</f>
        <v/>
      </c>
      <c r="N10" s="4" t="inlineStr"/>
      <c r="O10" s="4" t="inlineStr"/>
      <c r="P10" s="4">
        <f>IF(N10*O10=0,"",N10*O10)</f>
        <v/>
      </c>
      <c r="Q10" s="4" t="inlineStr"/>
      <c r="R10" s="4" t="inlineStr"/>
      <c r="S10" s="4">
        <f>IF(OR(K10="",R10=""),"",IF(K10&gt;R10,"выше аппетита: решение комитета","в пределах аппетита"))</f>
        <v/>
      </c>
      <c r="T10" s="4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>
        <f>IF(D11*E11=0,"",D11*E11)</f>
        <v/>
      </c>
      <c r="G11" s="4" t="inlineStr"/>
      <c r="H11" s="4" t="inlineStr"/>
      <c r="I11" s="4" t="inlineStr"/>
      <c r="J11" s="4" t="inlineStr"/>
      <c r="K11" s="4">
        <f>IF(I11*J11=0,"",I11*J11)</f>
        <v/>
      </c>
      <c r="L11" s="4">
        <f>IF(K11="","",IF(K11&gt;=15,"красная",IF(K11&gt;=10,"оранжевая",IF(K11&gt;=5,"желтая","зеленая"))))</f>
        <v/>
      </c>
      <c r="M11" s="4">
        <f>IF(OR(F11="",K11=""),"",ROUND((1-K11/F11)*100,0))</f>
        <v/>
      </c>
      <c r="N11" s="4" t="inlineStr"/>
      <c r="O11" s="4" t="inlineStr"/>
      <c r="P11" s="4">
        <f>IF(N11*O11=0,"",N11*O11)</f>
        <v/>
      </c>
      <c r="Q11" s="4" t="inlineStr"/>
      <c r="R11" s="4" t="inlineStr"/>
      <c r="S11" s="4">
        <f>IF(OR(K11="",R11=""),"",IF(K11&gt;R11,"выше аппетита: решение комитета","в пределах аппетита"))</f>
        <v/>
      </c>
      <c r="T11" s="4" t="inlineStr"/>
    </row>
    <row r="12">
      <c r="A12" s="4" t="n">
        <v>9</v>
      </c>
      <c r="B12" s="4" t="inlineStr"/>
      <c r="C12" s="4" t="inlineStr"/>
      <c r="D12" s="4" t="inlineStr"/>
      <c r="E12" s="4" t="inlineStr"/>
      <c r="F12" s="4">
        <f>IF(D12*E12=0,"",D12*E12)</f>
        <v/>
      </c>
      <c r="G12" s="4" t="inlineStr"/>
      <c r="H12" s="4" t="inlineStr"/>
      <c r="I12" s="4" t="inlineStr"/>
      <c r="J12" s="4" t="inlineStr"/>
      <c r="K12" s="4">
        <f>IF(I12*J12=0,"",I12*J12)</f>
        <v/>
      </c>
      <c r="L12" s="4">
        <f>IF(K12="","",IF(K12&gt;=15,"красная",IF(K12&gt;=10,"оранжевая",IF(K12&gt;=5,"желтая","зеленая"))))</f>
        <v/>
      </c>
      <c r="M12" s="4">
        <f>IF(OR(F12="",K12=""),"",ROUND((1-K12/F12)*100,0))</f>
        <v/>
      </c>
      <c r="N12" s="4" t="inlineStr"/>
      <c r="O12" s="4" t="inlineStr"/>
      <c r="P12" s="4">
        <f>IF(N12*O12=0,"",N12*O12)</f>
        <v/>
      </c>
      <c r="Q12" s="4" t="inlineStr"/>
      <c r="R12" s="4" t="inlineStr"/>
      <c r="S12" s="4">
        <f>IF(OR(K12="",R12=""),"",IF(K12&gt;R12,"выше аппетита: решение комитета","в пределах аппетита"))</f>
        <v/>
      </c>
      <c r="T12" s="4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>
        <f>IF(D13*E13=0,"",D13*E13)</f>
        <v/>
      </c>
      <c r="G13" s="4" t="inlineStr"/>
      <c r="H13" s="4" t="inlineStr"/>
      <c r="I13" s="4" t="inlineStr"/>
      <c r="J13" s="4" t="inlineStr"/>
      <c r="K13" s="4">
        <f>IF(I13*J13=0,"",I13*J13)</f>
        <v/>
      </c>
      <c r="L13" s="4">
        <f>IF(K13="","",IF(K13&gt;=15,"красная",IF(K13&gt;=10,"оранжевая",IF(K13&gt;=5,"желтая","зеленая"))))</f>
        <v/>
      </c>
      <c r="M13" s="4">
        <f>IF(OR(F13="",K13=""),"",ROUND((1-K13/F13)*100,0))</f>
        <v/>
      </c>
      <c r="N13" s="4" t="inlineStr"/>
      <c r="O13" s="4" t="inlineStr"/>
      <c r="P13" s="4">
        <f>IF(N13*O13=0,"",N13*O13)</f>
        <v/>
      </c>
      <c r="Q13" s="4" t="inlineStr"/>
      <c r="R13" s="4" t="inlineStr"/>
      <c r="S13" s="4">
        <f>IF(OR(K13="",R13=""),"",IF(K13&gt;R13,"выше аппетита: решение комитета","в пределах аппетита"))</f>
        <v/>
      </c>
      <c r="T13" s="4" t="inlineStr"/>
    </row>
    <row r="14">
      <c r="A14" s="4" t="n">
        <v>11</v>
      </c>
      <c r="B14" s="4" t="inlineStr"/>
      <c r="C14" s="4" t="inlineStr"/>
      <c r="D14" s="4" t="inlineStr"/>
      <c r="E14" s="4" t="inlineStr"/>
      <c r="F14" s="4">
        <f>IF(D14*E14=0,"",D14*E14)</f>
        <v/>
      </c>
      <c r="G14" s="4" t="inlineStr"/>
      <c r="H14" s="4" t="inlineStr"/>
      <c r="I14" s="4" t="inlineStr"/>
      <c r="J14" s="4" t="inlineStr"/>
      <c r="K14" s="4">
        <f>IF(I14*J14=0,"",I14*J14)</f>
        <v/>
      </c>
      <c r="L14" s="4">
        <f>IF(K14="","",IF(K14&gt;=15,"красная",IF(K14&gt;=10,"оранжевая",IF(K14&gt;=5,"желтая","зеленая"))))</f>
        <v/>
      </c>
      <c r="M14" s="4">
        <f>IF(OR(F14="",K14=""),"",ROUND((1-K14/F14)*100,0))</f>
        <v/>
      </c>
      <c r="N14" s="4" t="inlineStr"/>
      <c r="O14" s="4" t="inlineStr"/>
      <c r="P14" s="4">
        <f>IF(N14*O14=0,"",N14*O14)</f>
        <v/>
      </c>
      <c r="Q14" s="4" t="inlineStr"/>
      <c r="R14" s="4" t="inlineStr"/>
      <c r="S14" s="4">
        <f>IF(OR(K14="",R14=""),"",IF(K14&gt;R14,"выше аппетита: решение комитета","в пределах аппетита"))</f>
        <v/>
      </c>
      <c r="T14" s="4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>
        <f>IF(D15*E15=0,"",D15*E15)</f>
        <v/>
      </c>
      <c r="G15" s="4" t="inlineStr"/>
      <c r="H15" s="4" t="inlineStr"/>
      <c r="I15" s="4" t="inlineStr"/>
      <c r="J15" s="4" t="inlineStr"/>
      <c r="K15" s="4">
        <f>IF(I15*J15=0,"",I15*J15)</f>
        <v/>
      </c>
      <c r="L15" s="4">
        <f>IF(K15="","",IF(K15&gt;=15,"красная",IF(K15&gt;=10,"оранжевая",IF(K15&gt;=5,"желтая","зеленая"))))</f>
        <v/>
      </c>
      <c r="M15" s="4">
        <f>IF(OR(F15="",K15=""),"",ROUND((1-K15/F15)*100,0))</f>
        <v/>
      </c>
      <c r="N15" s="4" t="inlineStr"/>
      <c r="O15" s="4" t="inlineStr"/>
      <c r="P15" s="4">
        <f>IF(N15*O15=0,"",N15*O15)</f>
        <v/>
      </c>
      <c r="Q15" s="4" t="inlineStr"/>
      <c r="R15" s="4" t="inlineStr"/>
      <c r="S15" s="4">
        <f>IF(OR(K15="",R15=""),"",IF(K15&gt;R15,"выше аппетита: решение комитета","в пределах аппетита"))</f>
        <v/>
      </c>
      <c r="T15" s="4" t="inlineStr"/>
    </row>
    <row r="16">
      <c r="A16" s="4" t="n">
        <v>13</v>
      </c>
      <c r="B16" s="4" t="inlineStr"/>
      <c r="C16" s="4" t="inlineStr"/>
      <c r="D16" s="4" t="inlineStr"/>
      <c r="E16" s="4" t="inlineStr"/>
      <c r="F16" s="4">
        <f>IF(D16*E16=0,"",D16*E16)</f>
        <v/>
      </c>
      <c r="G16" s="4" t="inlineStr"/>
      <c r="H16" s="4" t="inlineStr"/>
      <c r="I16" s="4" t="inlineStr"/>
      <c r="J16" s="4" t="inlineStr"/>
      <c r="K16" s="4">
        <f>IF(I16*J16=0,"",I16*J16)</f>
        <v/>
      </c>
      <c r="L16" s="4">
        <f>IF(K16="","",IF(K16&gt;=15,"красная",IF(K16&gt;=10,"оранжевая",IF(K16&gt;=5,"желтая","зеленая"))))</f>
        <v/>
      </c>
      <c r="M16" s="4">
        <f>IF(OR(F16="",K16=""),"",ROUND((1-K16/F16)*100,0))</f>
        <v/>
      </c>
      <c r="N16" s="4" t="inlineStr"/>
      <c r="O16" s="4" t="inlineStr"/>
      <c r="P16" s="4">
        <f>IF(N16*O16=0,"",N16*O16)</f>
        <v/>
      </c>
      <c r="Q16" s="4" t="inlineStr"/>
      <c r="R16" s="4" t="inlineStr"/>
      <c r="S16" s="4">
        <f>IF(OR(K16="",R16=""),"",IF(K16&gt;R16,"выше аппетита: решение комитета","в пределах аппетита"))</f>
        <v/>
      </c>
      <c r="T16" s="4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>
        <f>IF(D17*E17=0,"",D17*E17)</f>
        <v/>
      </c>
      <c r="G17" s="4" t="inlineStr"/>
      <c r="H17" s="4" t="inlineStr"/>
      <c r="I17" s="4" t="inlineStr"/>
      <c r="J17" s="4" t="inlineStr"/>
      <c r="K17" s="4">
        <f>IF(I17*J17=0,"",I17*J17)</f>
        <v/>
      </c>
      <c r="L17" s="4">
        <f>IF(K17="","",IF(K17&gt;=15,"красная",IF(K17&gt;=10,"оранжевая",IF(K17&gt;=5,"желтая","зеленая"))))</f>
        <v/>
      </c>
      <c r="M17" s="4">
        <f>IF(OR(F17="",K17=""),"",ROUND((1-K17/F17)*100,0))</f>
        <v/>
      </c>
      <c r="N17" s="4" t="inlineStr"/>
      <c r="O17" s="4" t="inlineStr"/>
      <c r="P17" s="4">
        <f>IF(N17*O17=0,"",N17*O17)</f>
        <v/>
      </c>
      <c r="Q17" s="4" t="inlineStr"/>
      <c r="R17" s="4" t="inlineStr"/>
      <c r="S17" s="4">
        <f>IF(OR(K17="",R17=""),"",IF(K17&gt;R17,"выше аппетита: решение комитета","в пределах аппетита"))</f>
        <v/>
      </c>
      <c r="T17" s="4" t="inlineStr"/>
    </row>
    <row r="18">
      <c r="A18" s="4" t="n">
        <v>15</v>
      </c>
      <c r="B18" s="4" t="inlineStr"/>
      <c r="C18" s="4" t="inlineStr"/>
      <c r="D18" s="4" t="inlineStr"/>
      <c r="E18" s="4" t="inlineStr"/>
      <c r="F18" s="4">
        <f>IF(D18*E18=0,"",D18*E18)</f>
        <v/>
      </c>
      <c r="G18" s="4" t="inlineStr"/>
      <c r="H18" s="4" t="inlineStr"/>
      <c r="I18" s="4" t="inlineStr"/>
      <c r="J18" s="4" t="inlineStr"/>
      <c r="K18" s="4">
        <f>IF(I18*J18=0,"",I18*J18)</f>
        <v/>
      </c>
      <c r="L18" s="4">
        <f>IF(K18="","",IF(K18&gt;=15,"красная",IF(K18&gt;=10,"оранжевая",IF(K18&gt;=5,"желтая","зеленая"))))</f>
        <v/>
      </c>
      <c r="M18" s="4">
        <f>IF(OR(F18="",K18=""),"",ROUND((1-K18/F18)*100,0))</f>
        <v/>
      </c>
      <c r="N18" s="4" t="inlineStr"/>
      <c r="O18" s="4" t="inlineStr"/>
      <c r="P18" s="4">
        <f>IF(N18*O18=0,"",N18*O18)</f>
        <v/>
      </c>
      <c r="Q18" s="4" t="inlineStr"/>
      <c r="R18" s="4" t="inlineStr"/>
      <c r="S18" s="4">
        <f>IF(OR(K18="",R18=""),"",IF(K18&gt;R18,"выше аппетита: решение комитета","в пределах аппетита"))</f>
        <v/>
      </c>
      <c r="T18" s="4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>
        <f>IF(D19*E19=0,"",D19*E19)</f>
        <v/>
      </c>
      <c r="G19" s="4" t="inlineStr"/>
      <c r="H19" s="4" t="inlineStr"/>
      <c r="I19" s="4" t="inlineStr"/>
      <c r="J19" s="4" t="inlineStr"/>
      <c r="K19" s="4">
        <f>IF(I19*J19=0,"",I19*J19)</f>
        <v/>
      </c>
      <c r="L19" s="4">
        <f>IF(K19="","",IF(K19&gt;=15,"красная",IF(K19&gt;=10,"оранжевая",IF(K19&gt;=5,"желтая","зеленая"))))</f>
        <v/>
      </c>
      <c r="M19" s="4">
        <f>IF(OR(F19="",K19=""),"",ROUND((1-K19/F19)*100,0))</f>
        <v/>
      </c>
      <c r="N19" s="4" t="inlineStr"/>
      <c r="O19" s="4" t="inlineStr"/>
      <c r="P19" s="4">
        <f>IF(N19*O19=0,"",N19*O19)</f>
        <v/>
      </c>
      <c r="Q19" s="4" t="inlineStr"/>
      <c r="R19" s="4" t="inlineStr"/>
      <c r="S19" s="4">
        <f>IF(OR(K19="",R19=""),"",IF(K19&gt;R19,"выше аппетита: решение комитета","в пределах аппетита"))</f>
        <v/>
      </c>
      <c r="T19" s="4" t="inlineStr"/>
    </row>
    <row r="20">
      <c r="A20" s="4" t="n">
        <v>17</v>
      </c>
      <c r="B20" s="4" t="inlineStr"/>
      <c r="C20" s="4" t="inlineStr"/>
      <c r="D20" s="4" t="inlineStr"/>
      <c r="E20" s="4" t="inlineStr"/>
      <c r="F20" s="4">
        <f>IF(D20*E20=0,"",D20*E20)</f>
        <v/>
      </c>
      <c r="G20" s="4" t="inlineStr"/>
      <c r="H20" s="4" t="inlineStr"/>
      <c r="I20" s="4" t="inlineStr"/>
      <c r="J20" s="4" t="inlineStr"/>
      <c r="K20" s="4">
        <f>IF(I20*J20=0,"",I20*J20)</f>
        <v/>
      </c>
      <c r="L20" s="4">
        <f>IF(K20="","",IF(K20&gt;=15,"красная",IF(K20&gt;=10,"оранжевая",IF(K20&gt;=5,"желтая","зеленая"))))</f>
        <v/>
      </c>
      <c r="M20" s="4">
        <f>IF(OR(F20="",K20=""),"",ROUND((1-K20/F20)*100,0))</f>
        <v/>
      </c>
      <c r="N20" s="4" t="inlineStr"/>
      <c r="O20" s="4" t="inlineStr"/>
      <c r="P20" s="4">
        <f>IF(N20*O20=0,"",N20*O20)</f>
        <v/>
      </c>
      <c r="Q20" s="4" t="inlineStr"/>
      <c r="R20" s="4" t="inlineStr"/>
      <c r="S20" s="4">
        <f>IF(OR(K20="",R20=""),"",IF(K20&gt;R20,"выше аппетита: решение комитета","в пределах аппетита"))</f>
        <v/>
      </c>
      <c r="T20" s="4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>
        <f>IF(D21*E21=0,"",D21*E21)</f>
        <v/>
      </c>
      <c r="G21" s="4" t="inlineStr"/>
      <c r="H21" s="4" t="inlineStr"/>
      <c r="I21" s="4" t="inlineStr"/>
      <c r="J21" s="4" t="inlineStr"/>
      <c r="K21" s="4">
        <f>IF(I21*J21=0,"",I21*J21)</f>
        <v/>
      </c>
      <c r="L21" s="4">
        <f>IF(K21="","",IF(K21&gt;=15,"красная",IF(K21&gt;=10,"оранжевая",IF(K21&gt;=5,"желтая","зеленая"))))</f>
        <v/>
      </c>
      <c r="M21" s="4">
        <f>IF(OR(F21="",K21=""),"",ROUND((1-K21/F21)*100,0))</f>
        <v/>
      </c>
      <c r="N21" s="4" t="inlineStr"/>
      <c r="O21" s="4" t="inlineStr"/>
      <c r="P21" s="4">
        <f>IF(N21*O21=0,"",N21*O21)</f>
        <v/>
      </c>
      <c r="Q21" s="4" t="inlineStr"/>
      <c r="R21" s="4" t="inlineStr"/>
      <c r="S21" s="4">
        <f>IF(OR(K21="",R21=""),"",IF(K21&gt;R21,"выше аппетита: решение комитета","в пределах аппетита"))</f>
        <v/>
      </c>
      <c r="T21" s="4" t="inlineStr"/>
    </row>
    <row r="22">
      <c r="A22" s="4" t="n">
        <v>19</v>
      </c>
      <c r="B22" s="4" t="inlineStr"/>
      <c r="C22" s="4" t="inlineStr"/>
      <c r="D22" s="4" t="inlineStr"/>
      <c r="E22" s="4" t="inlineStr"/>
      <c r="F22" s="4">
        <f>IF(D22*E22=0,"",D22*E22)</f>
        <v/>
      </c>
      <c r="G22" s="4" t="inlineStr"/>
      <c r="H22" s="4" t="inlineStr"/>
      <c r="I22" s="4" t="inlineStr"/>
      <c r="J22" s="4" t="inlineStr"/>
      <c r="K22" s="4">
        <f>IF(I22*J22=0,"",I22*J22)</f>
        <v/>
      </c>
      <c r="L22" s="4">
        <f>IF(K22="","",IF(K22&gt;=15,"красная",IF(K22&gt;=10,"оранжевая",IF(K22&gt;=5,"желтая","зеленая"))))</f>
        <v/>
      </c>
      <c r="M22" s="4">
        <f>IF(OR(F22="",K22=""),"",ROUND((1-K22/F22)*100,0))</f>
        <v/>
      </c>
      <c r="N22" s="4" t="inlineStr"/>
      <c r="O22" s="4" t="inlineStr"/>
      <c r="P22" s="4">
        <f>IF(N22*O22=0,"",N22*O22)</f>
        <v/>
      </c>
      <c r="Q22" s="4" t="inlineStr"/>
      <c r="R22" s="4" t="inlineStr"/>
      <c r="S22" s="4">
        <f>IF(OR(K22="",R22=""),"",IF(K22&gt;R22,"выше аппетита: решение комитета","в пределах аппетита"))</f>
        <v/>
      </c>
      <c r="T22" s="4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>
        <f>IF(D23*E23=0,"",D23*E23)</f>
        <v/>
      </c>
      <c r="G23" s="4" t="inlineStr"/>
      <c r="H23" s="4" t="inlineStr"/>
      <c r="I23" s="4" t="inlineStr"/>
      <c r="J23" s="4" t="inlineStr"/>
      <c r="K23" s="4">
        <f>IF(I23*J23=0,"",I23*J23)</f>
        <v/>
      </c>
      <c r="L23" s="4">
        <f>IF(K23="","",IF(K23&gt;=15,"красная",IF(K23&gt;=10,"оранжевая",IF(K23&gt;=5,"желтая","зеленая"))))</f>
        <v/>
      </c>
      <c r="M23" s="4">
        <f>IF(OR(F23="",K23=""),"",ROUND((1-K23/F23)*100,0))</f>
        <v/>
      </c>
      <c r="N23" s="4" t="inlineStr"/>
      <c r="O23" s="4" t="inlineStr"/>
      <c r="P23" s="4">
        <f>IF(N23*O23=0,"",N23*O23)</f>
        <v/>
      </c>
      <c r="Q23" s="4" t="inlineStr"/>
      <c r="R23" s="4" t="inlineStr"/>
      <c r="S23" s="4">
        <f>IF(OR(K23="",R23=""),"",IF(K23&gt;R23,"выше аппетита: решение комитета","в пределах аппетита"))</f>
        <v/>
      </c>
      <c r="T23" s="4" t="inlineStr"/>
    </row>
    <row r="24">
      <c r="A24" s="4" t="n">
        <v>21</v>
      </c>
      <c r="B24" s="4" t="inlineStr"/>
      <c r="C24" s="4" t="inlineStr"/>
      <c r="D24" s="4" t="inlineStr"/>
      <c r="E24" s="4" t="inlineStr"/>
      <c r="F24" s="4">
        <f>IF(D24*E24=0,"",D24*E24)</f>
        <v/>
      </c>
      <c r="G24" s="4" t="inlineStr"/>
      <c r="H24" s="4" t="inlineStr"/>
      <c r="I24" s="4" t="inlineStr"/>
      <c r="J24" s="4" t="inlineStr"/>
      <c r="K24" s="4">
        <f>IF(I24*J24=0,"",I24*J24)</f>
        <v/>
      </c>
      <c r="L24" s="4">
        <f>IF(K24="","",IF(K24&gt;=15,"красная",IF(K24&gt;=10,"оранжевая",IF(K24&gt;=5,"желтая","зеленая"))))</f>
        <v/>
      </c>
      <c r="M24" s="4">
        <f>IF(OR(F24="",K24=""),"",ROUND((1-K24/F24)*100,0))</f>
        <v/>
      </c>
      <c r="N24" s="4" t="inlineStr"/>
      <c r="O24" s="4" t="inlineStr"/>
      <c r="P24" s="4">
        <f>IF(N24*O24=0,"",N24*O24)</f>
        <v/>
      </c>
      <c r="Q24" s="4" t="inlineStr"/>
      <c r="R24" s="4" t="inlineStr"/>
      <c r="S24" s="4">
        <f>IF(OR(K24="",R24=""),"",IF(K24&gt;R24,"выше аппетита: решение комитета","в пределах аппетита"))</f>
        <v/>
      </c>
      <c r="T24" s="4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>
        <f>IF(D25*E25=0,"",D25*E25)</f>
        <v/>
      </c>
      <c r="G25" s="4" t="inlineStr"/>
      <c r="H25" s="4" t="inlineStr"/>
      <c r="I25" s="4" t="inlineStr"/>
      <c r="J25" s="4" t="inlineStr"/>
      <c r="K25" s="4">
        <f>IF(I25*J25=0,"",I25*J25)</f>
        <v/>
      </c>
      <c r="L25" s="4">
        <f>IF(K25="","",IF(K25&gt;=15,"красная",IF(K25&gt;=10,"оранжевая",IF(K25&gt;=5,"желтая","зеленая"))))</f>
        <v/>
      </c>
      <c r="M25" s="4">
        <f>IF(OR(F25="",K25=""),"",ROUND((1-K25/F25)*100,0))</f>
        <v/>
      </c>
      <c r="N25" s="4" t="inlineStr"/>
      <c r="O25" s="4" t="inlineStr"/>
      <c r="P25" s="4">
        <f>IF(N25*O25=0,"",N25*O25)</f>
        <v/>
      </c>
      <c r="Q25" s="4" t="inlineStr"/>
      <c r="R25" s="4" t="inlineStr"/>
      <c r="S25" s="4">
        <f>IF(OR(K25="",R25=""),"",IF(K25&gt;R25,"выше аппетита: решение комитета","в пределах аппетита"))</f>
        <v/>
      </c>
      <c r="T25" s="4" t="inlineStr"/>
    </row>
    <row r="26">
      <c r="A26" s="4" t="n">
        <v>23</v>
      </c>
      <c r="B26" s="4" t="inlineStr"/>
      <c r="C26" s="4" t="inlineStr"/>
      <c r="D26" s="4" t="inlineStr"/>
      <c r="E26" s="4" t="inlineStr"/>
      <c r="F26" s="4">
        <f>IF(D26*E26=0,"",D26*E26)</f>
        <v/>
      </c>
      <c r="G26" s="4" t="inlineStr"/>
      <c r="H26" s="4" t="inlineStr"/>
      <c r="I26" s="4" t="inlineStr"/>
      <c r="J26" s="4" t="inlineStr"/>
      <c r="K26" s="4">
        <f>IF(I26*J26=0,"",I26*J26)</f>
        <v/>
      </c>
      <c r="L26" s="4">
        <f>IF(K26="","",IF(K26&gt;=15,"красная",IF(K26&gt;=10,"оранжевая",IF(K26&gt;=5,"желтая","зеленая"))))</f>
        <v/>
      </c>
      <c r="M26" s="4">
        <f>IF(OR(F26="",K26=""),"",ROUND((1-K26/F26)*100,0))</f>
        <v/>
      </c>
      <c r="N26" s="4" t="inlineStr"/>
      <c r="O26" s="4" t="inlineStr"/>
      <c r="P26" s="4">
        <f>IF(N26*O26=0,"",N26*O26)</f>
        <v/>
      </c>
      <c r="Q26" s="4" t="inlineStr"/>
      <c r="R26" s="4" t="inlineStr"/>
      <c r="S26" s="4">
        <f>IF(OR(K26="",R26=""),"",IF(K26&gt;R26,"выше аппетита: решение комитета","в пределах аппетита"))</f>
        <v/>
      </c>
      <c r="T26" s="4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>
        <f>IF(D27*E27=0,"",D27*E27)</f>
        <v/>
      </c>
      <c r="G27" s="4" t="inlineStr"/>
      <c r="H27" s="4" t="inlineStr"/>
      <c r="I27" s="4" t="inlineStr"/>
      <c r="J27" s="4" t="inlineStr"/>
      <c r="K27" s="4">
        <f>IF(I27*J27=0,"",I27*J27)</f>
        <v/>
      </c>
      <c r="L27" s="4">
        <f>IF(K27="","",IF(K27&gt;=15,"красная",IF(K27&gt;=10,"оранжевая",IF(K27&gt;=5,"желтая","зеленая"))))</f>
        <v/>
      </c>
      <c r="M27" s="4">
        <f>IF(OR(F27="",K27=""),"",ROUND((1-K27/F27)*100,0))</f>
        <v/>
      </c>
      <c r="N27" s="4" t="inlineStr"/>
      <c r="O27" s="4" t="inlineStr"/>
      <c r="P27" s="4">
        <f>IF(N27*O27=0,"",N27*O27)</f>
        <v/>
      </c>
      <c r="Q27" s="4" t="inlineStr"/>
      <c r="R27" s="4" t="inlineStr"/>
      <c r="S27" s="4">
        <f>IF(OR(K27="",R27=""),"",IF(K27&gt;R27,"выше аппетита: решение комитета","в пределах аппетита"))</f>
        <v/>
      </c>
      <c r="T27" s="4" t="inlineStr"/>
    </row>
    <row r="28">
      <c r="A28" s="4" t="n">
        <v>25</v>
      </c>
      <c r="B28" s="4" t="inlineStr"/>
      <c r="C28" s="4" t="inlineStr"/>
      <c r="D28" s="4" t="inlineStr"/>
      <c r="E28" s="4" t="inlineStr"/>
      <c r="F28" s="4">
        <f>IF(D28*E28=0,"",D28*E28)</f>
        <v/>
      </c>
      <c r="G28" s="4" t="inlineStr"/>
      <c r="H28" s="4" t="inlineStr"/>
      <c r="I28" s="4" t="inlineStr"/>
      <c r="J28" s="4" t="inlineStr"/>
      <c r="K28" s="4">
        <f>IF(I28*J28=0,"",I28*J28)</f>
        <v/>
      </c>
      <c r="L28" s="4">
        <f>IF(K28="","",IF(K28&gt;=15,"красная",IF(K28&gt;=10,"оранжевая",IF(K28&gt;=5,"желтая","зеленая"))))</f>
        <v/>
      </c>
      <c r="M28" s="4">
        <f>IF(OR(F28="",K28=""),"",ROUND((1-K28/F28)*100,0))</f>
        <v/>
      </c>
      <c r="N28" s="4" t="inlineStr"/>
      <c r="O28" s="4" t="inlineStr"/>
      <c r="P28" s="4">
        <f>IF(N28*O28=0,"",N28*O28)</f>
        <v/>
      </c>
      <c r="Q28" s="4" t="inlineStr"/>
      <c r="R28" s="4" t="inlineStr"/>
      <c r="S28" s="4">
        <f>IF(OR(K28="",R28=""),"",IF(K28&gt;R28,"выше аппетита: решение комитета","в пределах аппетита"))</f>
        <v/>
      </c>
      <c r="T28" s="4" t="inlineStr"/>
    </row>
    <row r="29">
      <c r="A29" s="4" t="n">
        <v>26</v>
      </c>
      <c r="B29" s="4" t="inlineStr"/>
      <c r="C29" s="4" t="inlineStr"/>
      <c r="D29" s="4" t="inlineStr"/>
      <c r="E29" s="4" t="inlineStr"/>
      <c r="F29" s="4">
        <f>IF(D29*E29=0,"",D29*E29)</f>
        <v/>
      </c>
      <c r="G29" s="4" t="inlineStr"/>
      <c r="H29" s="4" t="inlineStr"/>
      <c r="I29" s="4" t="inlineStr"/>
      <c r="J29" s="4" t="inlineStr"/>
      <c r="K29" s="4">
        <f>IF(I29*J29=0,"",I29*J29)</f>
        <v/>
      </c>
      <c r="L29" s="4">
        <f>IF(K29="","",IF(K29&gt;=15,"красная",IF(K29&gt;=10,"оранжевая",IF(K29&gt;=5,"желтая","зеленая"))))</f>
        <v/>
      </c>
      <c r="M29" s="4">
        <f>IF(OR(F29="",K29=""),"",ROUND((1-K29/F29)*100,0))</f>
        <v/>
      </c>
      <c r="N29" s="4" t="inlineStr"/>
      <c r="O29" s="4" t="inlineStr"/>
      <c r="P29" s="4">
        <f>IF(N29*O29=0,"",N29*O29)</f>
        <v/>
      </c>
      <c r="Q29" s="4" t="inlineStr"/>
      <c r="R29" s="4" t="inlineStr"/>
      <c r="S29" s="4">
        <f>IF(OR(K29="",R29=""),"",IF(K29&gt;R29,"выше аппетита: решение комитета","в пределах аппетита"))</f>
        <v/>
      </c>
      <c r="T29" s="4" t="inlineStr"/>
    </row>
    <row r="30">
      <c r="A30" s="4" t="n">
        <v>27</v>
      </c>
      <c r="B30" s="4" t="inlineStr"/>
      <c r="C30" s="4" t="inlineStr"/>
      <c r="D30" s="4" t="inlineStr"/>
      <c r="E30" s="4" t="inlineStr"/>
      <c r="F30" s="4">
        <f>IF(D30*E30=0,"",D30*E30)</f>
        <v/>
      </c>
      <c r="G30" s="4" t="inlineStr"/>
      <c r="H30" s="4" t="inlineStr"/>
      <c r="I30" s="4" t="inlineStr"/>
      <c r="J30" s="4" t="inlineStr"/>
      <c r="K30" s="4">
        <f>IF(I30*J30=0,"",I30*J30)</f>
        <v/>
      </c>
      <c r="L30" s="4">
        <f>IF(K30="","",IF(K30&gt;=15,"красная",IF(K30&gt;=10,"оранжевая",IF(K30&gt;=5,"желтая","зеленая"))))</f>
        <v/>
      </c>
      <c r="M30" s="4">
        <f>IF(OR(F30="",K30=""),"",ROUND((1-K30/F30)*100,0))</f>
        <v/>
      </c>
      <c r="N30" s="4" t="inlineStr"/>
      <c r="O30" s="4" t="inlineStr"/>
      <c r="P30" s="4">
        <f>IF(N30*O30=0,"",N30*O30)</f>
        <v/>
      </c>
      <c r="Q30" s="4" t="inlineStr"/>
      <c r="R30" s="4" t="inlineStr"/>
      <c r="S30" s="4">
        <f>IF(OR(K30="",R30=""),"",IF(K30&gt;R30,"выше аппетита: решение комитета","в пределах аппетита"))</f>
        <v/>
      </c>
      <c r="T30" s="4" t="inlineStr"/>
    </row>
    <row r="31">
      <c r="A31" s="4" t="n">
        <v>28</v>
      </c>
      <c r="B31" s="4" t="inlineStr"/>
      <c r="C31" s="4" t="inlineStr"/>
      <c r="D31" s="4" t="inlineStr"/>
      <c r="E31" s="4" t="inlineStr"/>
      <c r="F31" s="4">
        <f>IF(D31*E31=0,"",D31*E31)</f>
        <v/>
      </c>
      <c r="G31" s="4" t="inlineStr"/>
      <c r="H31" s="4" t="inlineStr"/>
      <c r="I31" s="4" t="inlineStr"/>
      <c r="J31" s="4" t="inlineStr"/>
      <c r="K31" s="4">
        <f>IF(I31*J31=0,"",I31*J31)</f>
        <v/>
      </c>
      <c r="L31" s="4">
        <f>IF(K31="","",IF(K31&gt;=15,"красная",IF(K31&gt;=10,"оранжевая",IF(K31&gt;=5,"желтая","зеленая"))))</f>
        <v/>
      </c>
      <c r="M31" s="4">
        <f>IF(OR(F31="",K31=""),"",ROUND((1-K31/F31)*100,0))</f>
        <v/>
      </c>
      <c r="N31" s="4" t="inlineStr"/>
      <c r="O31" s="4" t="inlineStr"/>
      <c r="P31" s="4">
        <f>IF(N31*O31=0,"",N31*O31)</f>
        <v/>
      </c>
      <c r="Q31" s="4" t="inlineStr"/>
      <c r="R31" s="4" t="inlineStr"/>
      <c r="S31" s="4">
        <f>IF(OR(K31="",R31=""),"",IF(K31&gt;R31,"выше аппетита: решение комитета","в пределах аппетита"))</f>
        <v/>
      </c>
      <c r="T31" s="4" t="inlineStr"/>
    </row>
    <row r="32">
      <c r="A32" s="4" t="n">
        <v>29</v>
      </c>
      <c r="B32" s="4" t="inlineStr"/>
      <c r="C32" s="4" t="inlineStr"/>
      <c r="D32" s="4" t="inlineStr"/>
      <c r="E32" s="4" t="inlineStr"/>
      <c r="F32" s="4">
        <f>IF(D32*E32=0,"",D32*E32)</f>
        <v/>
      </c>
      <c r="G32" s="4" t="inlineStr"/>
      <c r="H32" s="4" t="inlineStr"/>
      <c r="I32" s="4" t="inlineStr"/>
      <c r="J32" s="4" t="inlineStr"/>
      <c r="K32" s="4">
        <f>IF(I32*J32=0,"",I32*J32)</f>
        <v/>
      </c>
      <c r="L32" s="4">
        <f>IF(K32="","",IF(K32&gt;=15,"красная",IF(K32&gt;=10,"оранжевая",IF(K32&gt;=5,"желтая","зеленая"))))</f>
        <v/>
      </c>
      <c r="M32" s="4">
        <f>IF(OR(F32="",K32=""),"",ROUND((1-K32/F32)*100,0))</f>
        <v/>
      </c>
      <c r="N32" s="4" t="inlineStr"/>
      <c r="O32" s="4" t="inlineStr"/>
      <c r="P32" s="4">
        <f>IF(N32*O32=0,"",N32*O32)</f>
        <v/>
      </c>
      <c r="Q32" s="4" t="inlineStr"/>
      <c r="R32" s="4" t="inlineStr"/>
      <c r="S32" s="4">
        <f>IF(OR(K32="",R32=""),"",IF(K32&gt;R32,"выше аппетита: решение комитета","в пределах аппетита"))</f>
        <v/>
      </c>
      <c r="T32" s="4" t="inlineStr"/>
    </row>
    <row r="33">
      <c r="A33" s="4" t="n">
        <v>30</v>
      </c>
      <c r="B33" s="4" t="inlineStr"/>
      <c r="C33" s="4" t="inlineStr"/>
      <c r="D33" s="4" t="inlineStr"/>
      <c r="E33" s="4" t="inlineStr"/>
      <c r="F33" s="4">
        <f>IF(D33*E33=0,"",D33*E33)</f>
        <v/>
      </c>
      <c r="G33" s="4" t="inlineStr"/>
      <c r="H33" s="4" t="inlineStr"/>
      <c r="I33" s="4" t="inlineStr"/>
      <c r="J33" s="4" t="inlineStr"/>
      <c r="K33" s="4">
        <f>IF(I33*J33=0,"",I33*J33)</f>
        <v/>
      </c>
      <c r="L33" s="4">
        <f>IF(K33="","",IF(K33&gt;=15,"красная",IF(K33&gt;=10,"оранжевая",IF(K33&gt;=5,"желтая","зеленая"))))</f>
        <v/>
      </c>
      <c r="M33" s="4">
        <f>IF(OR(F33="",K33=""),"",ROUND((1-K33/F33)*100,0))</f>
        <v/>
      </c>
      <c r="N33" s="4" t="inlineStr"/>
      <c r="O33" s="4" t="inlineStr"/>
      <c r="P33" s="4">
        <f>IF(N33*O33=0,"",N33*O33)</f>
        <v/>
      </c>
      <c r="Q33" s="4" t="inlineStr"/>
      <c r="R33" s="4" t="inlineStr"/>
      <c r="S33" s="4">
        <f>IF(OR(K33="",R33=""),"",IF(K33&gt;R33,"выше аппетита: решение комитета","в пределах аппетита"))</f>
        <v/>
      </c>
      <c r="T33" s="4" t="inlineStr"/>
    </row>
  </sheetData>
  <mergeCells count="1">
    <mergeCell ref="A1:T1"/>
  </mergeCells>
  <conditionalFormatting sqref="F4:F33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  <cfRule type="cellIs" priority="4" operator="between" dxfId="3">
      <formula>1</formula>
      <formula>4</formula>
    </cfRule>
  </conditionalFormatting>
  <conditionalFormatting sqref="K4:K33">
    <cfRule type="cellIs" priority="5" operator="greaterThanOrEqual" dxfId="0">
      <formula>15</formula>
    </cfRule>
    <cfRule type="cellIs" priority="6" operator="between" dxfId="1">
      <formula>10</formula>
      <formula>14</formula>
    </cfRule>
    <cfRule type="cellIs" priority="7" operator="between" dxfId="2">
      <formula>5</formula>
      <formula>9</formula>
    </cfRule>
    <cfRule type="cellIs" priority="8" operator="between" dxfId="3">
      <formula>1</formula>
      <formula>4</formula>
    </cfRule>
  </conditionalFormatting>
  <conditionalFormatting sqref="P4:P33">
    <cfRule type="cellIs" priority="9" operator="greaterThanOrEqual" dxfId="0">
      <formula>15</formula>
    </cfRule>
    <cfRule type="cellIs" priority="10" operator="between" dxfId="1">
      <formula>10</formula>
      <formula>14</formula>
    </cfRule>
    <cfRule type="cellIs" priority="11" operator="between" dxfId="2">
      <formula>5</formula>
      <formula>9</formula>
    </cfRule>
    <cfRule type="cellIs" priority="12" operator="between" dxfId="3">
      <formula>1</formula>
      <formula>4</formula>
    </cfRule>
  </conditionalFormatting>
  <conditionalFormatting sqref="S4:S33">
    <cfRule type="expression" priority="13" dxfId="1">
      <formula>ISNUMBER(SEARCH("выше",S4))</formula>
    </cfRule>
  </conditionalFormatting>
  <dataValidations count="6">
    <dataValidation sqref="D4:D33" showDropDown="0" showInputMessage="0" showErrorMessage="0" allowBlank="1" error="Введите число от 1 до 5" type="whole" operator="between">
      <formula1>1</formula1>
      <formula2>5</formula2>
    </dataValidation>
    <dataValidation sqref="E4:E33" showDropDown="0" showInputMessage="0" showErrorMessage="0" allowBlank="1" error="Введите число от 1 до 5" type="whole" operator="between">
      <formula1>1</formula1>
      <formula2>5</formula2>
    </dataValidation>
    <dataValidation sqref="I4:I33" showDropDown="0" showInputMessage="0" showErrorMessage="0" allowBlank="1" error="Введите число от 1 до 5" type="whole" operator="between">
      <formula1>1</formula1>
      <formula2>5</formula2>
    </dataValidation>
    <dataValidation sqref="J4:J33" showDropDown="0" showInputMessage="0" showErrorMessage="0" allowBlank="1" error="Введите число от 1 до 5" type="whole" operator="between">
      <formula1>1</formula1>
      <formula2>5</formula2>
    </dataValidation>
    <dataValidation sqref="N4:N33" showDropDown="0" showInputMessage="0" showErrorMessage="0" allowBlank="1" error="Введите число от 1 до 5" type="whole" operator="between">
      <formula1>1</formula1>
      <formula2>5</formula2>
    </dataValidation>
    <dataValidation sqref="O4:O33" showDropDown="0" showInputMessage="0" showErrorMessage="0" allowBlank="1" error="Введите число от 1 до 5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</cols>
  <sheetData>
    <row r="1" ht="44" customHeight="1">
      <c r="A1" s="2" t="inlineStr">
        <is>
          <t>Балл</t>
        </is>
      </c>
      <c r="B1" s="2" t="inlineStr">
        <is>
          <t>Вероятность</t>
        </is>
      </c>
      <c r="C1" s="2" t="inlineStr">
        <is>
          <t>Описание</t>
        </is>
      </c>
    </row>
    <row r="2">
      <c r="A2" s="4" t="n">
        <v>1</v>
      </c>
      <c r="B2" s="4" t="inlineStr">
        <is>
          <t>Очень низкая</t>
        </is>
      </c>
      <c r="C2" s="4" t="inlineStr">
        <is>
          <t>Событие маловероятно в горизонте пяти лет</t>
        </is>
      </c>
    </row>
    <row r="3">
      <c r="A3" s="4" t="n">
        <v>2</v>
      </c>
      <c r="B3" s="4" t="inlineStr">
        <is>
          <t>Низкая</t>
        </is>
      </c>
      <c r="C3" s="4" t="inlineStr">
        <is>
          <t>Возможно раз в три-пять лет</t>
        </is>
      </c>
    </row>
    <row r="4">
      <c r="A4" s="4" t="n">
        <v>3</v>
      </c>
      <c r="B4" s="4" t="inlineStr">
        <is>
          <t>Средняя</t>
        </is>
      </c>
      <c r="C4" s="4" t="inlineStr">
        <is>
          <t>Возможно раз в один-три года</t>
        </is>
      </c>
    </row>
    <row r="5">
      <c r="A5" s="4" t="n">
        <v>4</v>
      </c>
      <c r="B5" s="4" t="inlineStr">
        <is>
          <t>Высокая</t>
        </is>
      </c>
      <c r="C5" s="4" t="inlineStr">
        <is>
          <t>Ожидается в течение года</t>
        </is>
      </c>
    </row>
    <row r="6">
      <c r="A6" s="4" t="n">
        <v>5</v>
      </c>
      <c r="B6" s="4" t="inlineStr">
        <is>
          <t>Очень высокая</t>
        </is>
      </c>
      <c r="C6" s="4" t="inlineStr">
        <is>
          <t>Происходит несколько раз в год</t>
        </is>
      </c>
    </row>
    <row r="9">
      <c r="A9" s="5" t="inlineStr">
        <is>
          <t>Балл</t>
        </is>
      </c>
      <c r="B9" s="5" t="inlineStr">
        <is>
          <t>Влияние</t>
        </is>
      </c>
      <c r="C9" s="5" t="inlineStr">
        <is>
          <t>Описание</t>
        </is>
      </c>
    </row>
    <row r="10">
      <c r="A10" s="4" t="n">
        <v>1</v>
      </c>
      <c r="B10" s="4" t="inlineStr">
        <is>
          <t>Незначительное</t>
        </is>
      </c>
      <c r="C10" s="4" t="inlineStr">
        <is>
          <t>Потери до 0,1% выручки, без влияния на клиентов</t>
        </is>
      </c>
    </row>
    <row r="11">
      <c r="A11" s="4" t="n">
        <v>2</v>
      </c>
      <c r="B11" s="4" t="inlineStr">
        <is>
          <t>Умеренное</t>
        </is>
      </c>
      <c r="C11" s="4" t="inlineStr">
        <is>
          <t>До 0,5% выручки, локальные жалобы</t>
        </is>
      </c>
    </row>
    <row r="12">
      <c r="A12" s="4" t="n">
        <v>3</v>
      </c>
      <c r="B12" s="4" t="inlineStr">
        <is>
          <t>Существенное</t>
        </is>
      </c>
      <c r="C12" s="4" t="inlineStr">
        <is>
          <t>До 2% выручки, срыв отдельных обязательств</t>
        </is>
      </c>
    </row>
    <row r="13">
      <c r="A13" s="4" t="n">
        <v>4</v>
      </c>
      <c r="B13" s="4" t="inlineStr">
        <is>
          <t>Крупное</t>
        </is>
      </c>
      <c r="C13" s="4" t="inlineStr">
        <is>
          <t>До 5% выручки, внимание регулятора или СМИ</t>
        </is>
      </c>
    </row>
    <row r="14">
      <c r="A14" s="4" t="n">
        <v>5</v>
      </c>
      <c r="B14" s="4" t="inlineStr">
        <is>
          <t>Критическое</t>
        </is>
      </c>
      <c r="C14" s="4" t="inlineStr">
        <is>
          <t>Свыше 5% выручки, угроза ключевому бизнесу</t>
        </is>
      </c>
    </row>
    <row r="16">
      <c r="A16" s="6" t="inlineStr">
        <is>
          <t>Зоны уровня: зеленая 1-4, желтая 5-9, оранжевая 10-14, красная 15-25. Шкалы примерные: замените пороги потерь на значения вашей компании.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44" customHeight="1">
      <c r="A1" s="2" t="inlineStr">
        <is>
          <t>№</t>
        </is>
      </c>
      <c r="B1" s="2" t="inlineStr">
        <is>
          <t>Правило честной оценки</t>
        </is>
      </c>
    </row>
    <row r="2">
      <c r="A2" s="4" t="n">
        <v>1</v>
      </c>
      <c r="B2" s="4" t="inlineStr">
        <is>
          <t>Учитывать только меры, которые действительно работают. Мера из регламента, которую никто не выполняет, остаточный риск не снижает.</t>
        </is>
      </c>
    </row>
    <row r="3">
      <c r="A3" s="4" t="n">
        <v>2</v>
      </c>
      <c r="B3" s="4" t="inlineStr">
        <is>
          <t>Проверять работоспособность меры хотя бы раз в год и записывать дату проверки.</t>
        </is>
      </c>
    </row>
    <row r="4">
      <c r="A4" s="4" t="n">
        <v>3</v>
      </c>
      <c r="B4" s="4" t="inlineStr">
        <is>
          <t>Не снижать текущую оценку авансом под невыполненное мероприятие: для этого есть целевой уровень.</t>
        </is>
      </c>
    </row>
    <row r="5">
      <c r="A5" s="4" t="n">
        <v>4</v>
      </c>
      <c r="B5" s="4" t="inlineStr">
        <is>
          <t>Фиксировать дату оценки. Остаточный риск устаревает быстрее присущего.</t>
        </is>
      </c>
    </row>
    <row r="6">
      <c r="A6" s="4" t="n">
        <v>5</v>
      </c>
      <c r="B6" s="4" t="inlineStr">
        <is>
          <t>Риски выше аппетита выносить на комитет: добавить меры, пересмотреть аппетит или принять превышение решением уполномоченного органа.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Шаблон подготовлен risk-place.ru. Свободное использование внутри организации. Версия от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2026-10-16T12:00:37Z</dcterms:created>
  <dcterms:modified xmlns:dcterms="http://purl.org/dc/terms/" xmlns:xsi="http://www.w3.org/2001/XMLSchema-instance" xsi:type="dcterms:W3CDTF">2026-10-16T12:00:37Z</dcterms:modified>
</cp:coreProperties>
</file>