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ценка" sheetId="1" state="visible" r:id="rId1"/>
    <sheet xmlns:r="http://schemas.openxmlformats.org/officeDocument/2006/relationships" name="Шкала" sheetId="2" state="visible" r:id="rId2"/>
    <sheet xmlns:r="http://schemas.openxmlformats.org/officeDocument/2006/relationships" name="Показатели ущерба" sheetId="3" state="visible" r:id="rId3"/>
    <sheet xmlns:r="http://schemas.openxmlformats.org/officeDocument/2006/relationships" name="Сводка" sheetId="4" state="visible" r:id="rId4"/>
    <sheet xmlns:r="http://schemas.openxmlformats.org/officeDocument/2006/relationships" name="О шаблоне"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i val="1"/>
      <color rgb="00666666"/>
      <sz val="9"/>
    </font>
    <font>
      <b val="1"/>
      <color rgb="00FFFFFF"/>
      <sz val="10"/>
    </font>
    <font>
      <sz val="10"/>
    </font>
    <font>
      <color rgb="00808080"/>
      <sz val="9"/>
    </font>
  </fonts>
  <fills count="4">
    <fill>
      <patternFill/>
    </fill>
    <fill>
      <patternFill patternType="gray125"/>
    </fill>
    <fill>
      <patternFill patternType="solid">
        <fgColor rgb="001B2A4A"/>
      </patternFill>
    </fill>
    <fill>
      <patternFill patternType="solid">
        <fgColor rgb="00F3F5F9"/>
      </patternFill>
    </fill>
  </fills>
  <borders count="2">
    <border>
      <left/>
      <right/>
      <top/>
      <bottom/>
      <diagonal/>
    </border>
    <border>
      <left style="thin">
        <color rgb="00C9CED8"/>
      </left>
      <right style="thin">
        <color rgb="00C9CED8"/>
      </right>
      <top style="thin">
        <color rgb="00C9CED8"/>
      </top>
      <bottom style="thin">
        <color rgb="00C9CED8"/>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vertical="center" wrapText="1"/>
    </xf>
    <xf numFmtId="0" fontId="3" fillId="3" borderId="1" applyAlignment="1" pivotButton="0" quotePrefix="0" xfId="0">
      <alignment vertical="top" wrapText="1"/>
    </xf>
    <xf numFmtId="0" fontId="3" fillId="0" borderId="1" applyAlignment="1" pivotButton="0" quotePrefix="0" xfId="0">
      <alignment vertical="top" wrapText="1"/>
    </xf>
    <xf numFmtId="0" fontId="4" fillId="0" borderId="0" pivotButton="0" quotePrefix="0" xfId="0"/>
  </cellXfs>
  <cellStyles count="1">
    <cellStyle name="Normal" xfId="0" builtinId="0" hidden="0"/>
  </cellStyles>
  <dxfs count="4">
    <dxf>
      <fill>
        <patternFill patternType="solid">
          <fgColor rgb="00E06666"/>
        </patternFill>
      </fill>
    </dxf>
    <dxf>
      <fill>
        <patternFill patternType="solid">
          <fgColor rgb="00F8CBAD"/>
        </patternFill>
      </fill>
    </dxf>
    <dxf>
      <fill>
        <patternFill patternType="solid">
          <fgColor rgb="00FFE699"/>
        </patternFill>
      </fill>
    </dxf>
    <dxf>
      <fill>
        <patternFill patternType="solid">
          <fgColor rgb="00C6E0B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3"/>
  <sheetViews>
    <sheetView workbookViewId="0">
      <pane ySplit="3" topLeftCell="A4" activePane="bottomLeft" state="frozen"/>
      <selection pane="bottomLeft" activeCell="A1" sqref="A1"/>
    </sheetView>
  </sheetViews>
  <sheetFormatPr baseColWidth="8" defaultRowHeight="15"/>
  <cols>
    <col width="5" customWidth="1" min="1" max="1"/>
    <col width="40" customWidth="1" min="2" max="2"/>
    <col width="28" customWidth="1" min="3" max="3"/>
    <col width="12" customWidth="1" min="4" max="4"/>
    <col width="11" customWidth="1" min="5" max="5"/>
    <col width="12" customWidth="1" min="6" max="6"/>
    <col width="11" customWidth="1" min="7" max="7"/>
    <col width="13" customWidth="1" min="8" max="8"/>
    <col width="14" customWidth="1" min="9" max="9"/>
    <col width="11" customWidth="1" min="10" max="10"/>
    <col width="12" customWidth="1" min="11" max="11"/>
    <col width="13" customWidth="1" min="12" max="12"/>
    <col width="12" customWidth="1" min="13" max="13"/>
    <col width="12" customWidth="1" min="14" max="14"/>
    <col width="13" customWidth="1" min="15" max="15"/>
    <col width="18" customWidth="1" min="16" max="16"/>
    <col width="20" customWidth="1" min="17" max="17"/>
    <col width="40" customWidth="1" min="18" max="18"/>
  </cols>
  <sheetData>
    <row r="1">
      <c r="A1" s="1" t="inlineStr">
        <is>
          <t>Первая строка пример. Репутационный риск оценивается как последствие исходного риска из реестра, ставшего публичным. Последствия по каждой аудитории по шкале листа «Шкала», итог берется по худшей аудитории. Деньги считаются через отток: выручка × отток × месяцы восстановления / 12.</t>
        </is>
      </c>
    </row>
    <row r="3" ht="34" customHeight="1">
      <c r="A3" s="2" t="inlineStr">
        <is>
          <t>№</t>
        </is>
      </c>
      <c r="B3" s="2" t="inlineStr">
        <is>
          <t>Сценарий: событие, которое станет публичным</t>
        </is>
      </c>
      <c r="C3" s="2" t="inlineStr">
        <is>
          <t>Исходный риск в реестре</t>
        </is>
      </c>
      <c r="D3" s="2" t="inlineStr">
        <is>
          <t>Вероятность огласки, 1-5</t>
        </is>
      </c>
      <c r="E3" s="2" t="inlineStr">
        <is>
          <t>Клиенты, 1-5</t>
        </is>
      </c>
      <c r="F3" s="2" t="inlineStr">
        <is>
          <t>Партнеры и банки, 1-5</t>
        </is>
      </c>
      <c r="G3" s="2" t="inlineStr">
        <is>
          <t>Регулятор, 1-5</t>
        </is>
      </c>
      <c r="H3" s="2" t="inlineStr">
        <is>
          <t>Сотрудники и кандидаты, 1-5</t>
        </is>
      </c>
      <c r="I3" s="2" t="inlineStr">
        <is>
          <t>Последствия (максимум по аудиториям)</t>
        </is>
      </c>
      <c r="J3" s="2" t="inlineStr">
        <is>
          <t>Уровень (В × П)</t>
        </is>
      </c>
      <c r="K3" s="2" t="inlineStr">
        <is>
          <t>Зона</t>
        </is>
      </c>
      <c r="L3" s="2" t="inlineStr">
        <is>
          <t>Выручка в год, млн руб.</t>
        </is>
      </c>
      <c r="M3" s="2" t="inlineStr">
        <is>
          <t>Ожидаемый отток клиентов, %</t>
        </is>
      </c>
      <c r="N3" s="2" t="inlineStr">
        <is>
          <t>Месяцев до восстановления</t>
        </is>
      </c>
      <c r="O3" s="2" t="inlineStr">
        <is>
          <t>Потеря выручки, млн руб.</t>
        </is>
      </c>
      <c r="P3" s="2" t="inlineStr">
        <is>
          <t>Готовность первых часов (спикер, заявление, канал): есть/нет</t>
        </is>
      </c>
      <c r="Q3" s="2" t="inlineStr">
        <is>
          <t>Владелец исходного риска</t>
        </is>
      </c>
      <c r="R3" s="2" t="inlineStr">
        <is>
          <t>Мера</t>
        </is>
      </c>
    </row>
    <row r="4">
      <c r="A4" s="3" t="n">
        <v>1</v>
      </c>
      <c r="B4" s="3" t="inlineStr">
        <is>
          <t>Утечка персональных данных клиентов, публикация в Telegram-каналах</t>
        </is>
      </c>
      <c r="C4" s="3" t="inlineStr">
        <is>
          <t>ИБ-03 Несанкционированный доступ к CRM</t>
        </is>
      </c>
      <c r="D4" s="3" t="n">
        <v>4</v>
      </c>
      <c r="E4" s="3" t="n">
        <v>4</v>
      </c>
      <c r="F4" s="3" t="n">
        <v>2</v>
      </c>
      <c r="G4" s="3" t="n">
        <v>4</v>
      </c>
      <c r="H4" s="3" t="n">
        <v>2</v>
      </c>
      <c r="I4" s="3">
        <f>IF(COUNT(E4:H4)=0,"",MAX(E4:H4))</f>
        <v/>
      </c>
      <c r="J4" s="3">
        <f>IF(OR(D4="",I4=""),"",D4*I4)</f>
        <v/>
      </c>
      <c r="K4" s="3">
        <f>IF(J4="","",IF(J4&gt;=15,"красная",IF(J4&gt;=10,"оранжевая",IF(J4&gt;=5,"желтая","зеленая"))))</f>
        <v/>
      </c>
      <c r="L4" s="3" t="n">
        <v>12000</v>
      </c>
      <c r="M4" s="3" t="n">
        <v>3</v>
      </c>
      <c r="N4" s="3" t="n">
        <v>6</v>
      </c>
      <c r="O4" s="3">
        <f>IF(OR(L4="",M4="",N4=""),"",ROUND(L4*M4/100*N4/12,1))</f>
        <v/>
      </c>
      <c r="P4" s="3" t="inlineStr">
        <is>
          <t>нет</t>
        </is>
      </c>
      <c r="Q4" s="3" t="inlineStr">
        <is>
          <t>Директор по ИТ</t>
        </is>
      </c>
      <c r="R4" s="3" t="inlineStr">
        <is>
          <t>Шифрование выгрузок, мониторинг утечек, шаблон заявления и спикер назначены заранее</t>
        </is>
      </c>
    </row>
    <row r="5">
      <c r="A5" s="4" t="inlineStr"/>
      <c r="B5" s="4" t="inlineStr"/>
      <c r="C5" s="4" t="inlineStr"/>
      <c r="D5" s="4" t="inlineStr"/>
      <c r="E5" s="4" t="inlineStr"/>
      <c r="F5" s="4" t="inlineStr"/>
      <c r="G5" s="4" t="inlineStr"/>
      <c r="H5" s="4" t="inlineStr"/>
      <c r="I5" s="4">
        <f>IF(COUNT(E5:H5)=0,"",MAX(E5:H5))</f>
        <v/>
      </c>
      <c r="J5" s="4">
        <f>IF(OR(D5="",I5=""),"",D5*I5)</f>
        <v/>
      </c>
      <c r="K5" s="4">
        <f>IF(J5="","",IF(J5&gt;=15,"красная",IF(J5&gt;=10,"оранжевая",IF(J5&gt;=5,"желтая","зеленая"))))</f>
        <v/>
      </c>
      <c r="L5" s="4" t="inlineStr"/>
      <c r="M5" s="4" t="inlineStr"/>
      <c r="N5" s="4" t="inlineStr"/>
      <c r="O5" s="4">
        <f>IF(OR(L5="",M5="",N5=""),"",ROUND(L5*M5/100*N5/12,1))</f>
        <v/>
      </c>
      <c r="P5" s="4" t="inlineStr"/>
      <c r="Q5" s="4" t="inlineStr"/>
      <c r="R5" s="4" t="inlineStr"/>
    </row>
    <row r="6">
      <c r="A6" s="4" t="inlineStr"/>
      <c r="B6" s="4" t="inlineStr"/>
      <c r="C6" s="4" t="inlineStr"/>
      <c r="D6" s="4" t="inlineStr"/>
      <c r="E6" s="4" t="inlineStr"/>
      <c r="F6" s="4" t="inlineStr"/>
      <c r="G6" s="4" t="inlineStr"/>
      <c r="H6" s="4" t="inlineStr"/>
      <c r="I6" s="4">
        <f>IF(COUNT(E6:H6)=0,"",MAX(E6:H6))</f>
        <v/>
      </c>
      <c r="J6" s="4">
        <f>IF(OR(D6="",I6=""),"",D6*I6)</f>
        <v/>
      </c>
      <c r="K6" s="4">
        <f>IF(J6="","",IF(J6&gt;=15,"красная",IF(J6&gt;=10,"оранжевая",IF(J6&gt;=5,"желтая","зеленая"))))</f>
        <v/>
      </c>
      <c r="L6" s="4" t="inlineStr"/>
      <c r="M6" s="4" t="inlineStr"/>
      <c r="N6" s="4" t="inlineStr"/>
      <c r="O6" s="4">
        <f>IF(OR(L6="",M6="",N6=""),"",ROUND(L6*M6/100*N6/12,1))</f>
        <v/>
      </c>
      <c r="P6" s="4" t="inlineStr"/>
      <c r="Q6" s="4" t="inlineStr"/>
      <c r="R6" s="4" t="inlineStr"/>
    </row>
    <row r="7">
      <c r="A7" s="4" t="inlineStr"/>
      <c r="B7" s="4" t="inlineStr"/>
      <c r="C7" s="4" t="inlineStr"/>
      <c r="D7" s="4" t="inlineStr"/>
      <c r="E7" s="4" t="inlineStr"/>
      <c r="F7" s="4" t="inlineStr"/>
      <c r="G7" s="4" t="inlineStr"/>
      <c r="H7" s="4" t="inlineStr"/>
      <c r="I7" s="4">
        <f>IF(COUNT(E7:H7)=0,"",MAX(E7:H7))</f>
        <v/>
      </c>
      <c r="J7" s="4">
        <f>IF(OR(D7="",I7=""),"",D7*I7)</f>
        <v/>
      </c>
      <c r="K7" s="4">
        <f>IF(J7="","",IF(J7&gt;=15,"красная",IF(J7&gt;=10,"оранжевая",IF(J7&gt;=5,"желтая","зеленая"))))</f>
        <v/>
      </c>
      <c r="L7" s="4" t="inlineStr"/>
      <c r="M7" s="4" t="inlineStr"/>
      <c r="N7" s="4" t="inlineStr"/>
      <c r="O7" s="4">
        <f>IF(OR(L7="",M7="",N7=""),"",ROUND(L7*M7/100*N7/12,1))</f>
        <v/>
      </c>
      <c r="P7" s="4" t="inlineStr"/>
      <c r="Q7" s="4" t="inlineStr"/>
      <c r="R7" s="4" t="inlineStr"/>
    </row>
    <row r="8">
      <c r="A8" s="4" t="inlineStr"/>
      <c r="B8" s="4" t="inlineStr"/>
      <c r="C8" s="4" t="inlineStr"/>
      <c r="D8" s="4" t="inlineStr"/>
      <c r="E8" s="4" t="inlineStr"/>
      <c r="F8" s="4" t="inlineStr"/>
      <c r="G8" s="4" t="inlineStr"/>
      <c r="H8" s="4" t="inlineStr"/>
      <c r="I8" s="4">
        <f>IF(COUNT(E8:H8)=0,"",MAX(E8:H8))</f>
        <v/>
      </c>
      <c r="J8" s="4">
        <f>IF(OR(D8="",I8=""),"",D8*I8)</f>
        <v/>
      </c>
      <c r="K8" s="4">
        <f>IF(J8="","",IF(J8&gt;=15,"красная",IF(J8&gt;=10,"оранжевая",IF(J8&gt;=5,"желтая","зеленая"))))</f>
        <v/>
      </c>
      <c r="L8" s="4" t="inlineStr"/>
      <c r="M8" s="4" t="inlineStr"/>
      <c r="N8" s="4" t="inlineStr"/>
      <c r="O8" s="4">
        <f>IF(OR(L8="",M8="",N8=""),"",ROUND(L8*M8/100*N8/12,1))</f>
        <v/>
      </c>
      <c r="P8" s="4" t="inlineStr"/>
      <c r="Q8" s="4" t="inlineStr"/>
      <c r="R8" s="4" t="inlineStr"/>
    </row>
    <row r="9">
      <c r="A9" s="4" t="inlineStr"/>
      <c r="B9" s="4" t="inlineStr"/>
      <c r="C9" s="4" t="inlineStr"/>
      <c r="D9" s="4" t="inlineStr"/>
      <c r="E9" s="4" t="inlineStr"/>
      <c r="F9" s="4" t="inlineStr"/>
      <c r="G9" s="4" t="inlineStr"/>
      <c r="H9" s="4" t="inlineStr"/>
      <c r="I9" s="4">
        <f>IF(COUNT(E9:H9)=0,"",MAX(E9:H9))</f>
        <v/>
      </c>
      <c r="J9" s="4">
        <f>IF(OR(D9="",I9=""),"",D9*I9)</f>
        <v/>
      </c>
      <c r="K9" s="4">
        <f>IF(J9="","",IF(J9&gt;=15,"красная",IF(J9&gt;=10,"оранжевая",IF(J9&gt;=5,"желтая","зеленая"))))</f>
        <v/>
      </c>
      <c r="L9" s="4" t="inlineStr"/>
      <c r="M9" s="4" t="inlineStr"/>
      <c r="N9" s="4" t="inlineStr"/>
      <c r="O9" s="4">
        <f>IF(OR(L9="",M9="",N9=""),"",ROUND(L9*M9/100*N9/12,1))</f>
        <v/>
      </c>
      <c r="P9" s="4" t="inlineStr"/>
      <c r="Q9" s="4" t="inlineStr"/>
      <c r="R9" s="4" t="inlineStr"/>
    </row>
    <row r="10">
      <c r="A10" s="4" t="inlineStr"/>
      <c r="B10" s="4" t="inlineStr"/>
      <c r="C10" s="4" t="inlineStr"/>
      <c r="D10" s="4" t="inlineStr"/>
      <c r="E10" s="4" t="inlineStr"/>
      <c r="F10" s="4" t="inlineStr"/>
      <c r="G10" s="4" t="inlineStr"/>
      <c r="H10" s="4" t="inlineStr"/>
      <c r="I10" s="4">
        <f>IF(COUNT(E10:H10)=0,"",MAX(E10:H10))</f>
        <v/>
      </c>
      <c r="J10" s="4">
        <f>IF(OR(D10="",I10=""),"",D10*I10)</f>
        <v/>
      </c>
      <c r="K10" s="4">
        <f>IF(J10="","",IF(J10&gt;=15,"красная",IF(J10&gt;=10,"оранжевая",IF(J10&gt;=5,"желтая","зеленая"))))</f>
        <v/>
      </c>
      <c r="L10" s="4" t="inlineStr"/>
      <c r="M10" s="4" t="inlineStr"/>
      <c r="N10" s="4" t="inlineStr"/>
      <c r="O10" s="4">
        <f>IF(OR(L10="",M10="",N10=""),"",ROUND(L10*M10/100*N10/12,1))</f>
        <v/>
      </c>
      <c r="P10" s="4" t="inlineStr"/>
      <c r="Q10" s="4" t="inlineStr"/>
      <c r="R10" s="4" t="inlineStr"/>
    </row>
    <row r="11">
      <c r="A11" s="4" t="inlineStr"/>
      <c r="B11" s="4" t="inlineStr"/>
      <c r="C11" s="4" t="inlineStr"/>
      <c r="D11" s="4" t="inlineStr"/>
      <c r="E11" s="4" t="inlineStr"/>
      <c r="F11" s="4" t="inlineStr"/>
      <c r="G11" s="4" t="inlineStr"/>
      <c r="H11" s="4" t="inlineStr"/>
      <c r="I11" s="4">
        <f>IF(COUNT(E11:H11)=0,"",MAX(E11:H11))</f>
        <v/>
      </c>
      <c r="J11" s="4">
        <f>IF(OR(D11="",I11=""),"",D11*I11)</f>
        <v/>
      </c>
      <c r="K11" s="4">
        <f>IF(J11="","",IF(J11&gt;=15,"красная",IF(J11&gt;=10,"оранжевая",IF(J11&gt;=5,"желтая","зеленая"))))</f>
        <v/>
      </c>
      <c r="L11" s="4" t="inlineStr"/>
      <c r="M11" s="4" t="inlineStr"/>
      <c r="N11" s="4" t="inlineStr"/>
      <c r="O11" s="4">
        <f>IF(OR(L11="",M11="",N11=""),"",ROUND(L11*M11/100*N11/12,1))</f>
        <v/>
      </c>
      <c r="P11" s="4" t="inlineStr"/>
      <c r="Q11" s="4" t="inlineStr"/>
      <c r="R11" s="4" t="inlineStr"/>
    </row>
    <row r="12">
      <c r="A12" s="4" t="inlineStr"/>
      <c r="B12" s="4" t="inlineStr"/>
      <c r="C12" s="4" t="inlineStr"/>
      <c r="D12" s="4" t="inlineStr"/>
      <c r="E12" s="4" t="inlineStr"/>
      <c r="F12" s="4" t="inlineStr"/>
      <c r="G12" s="4" t="inlineStr"/>
      <c r="H12" s="4" t="inlineStr"/>
      <c r="I12" s="4">
        <f>IF(COUNT(E12:H12)=0,"",MAX(E12:H12))</f>
        <v/>
      </c>
      <c r="J12" s="4">
        <f>IF(OR(D12="",I12=""),"",D12*I12)</f>
        <v/>
      </c>
      <c r="K12" s="4">
        <f>IF(J12="","",IF(J12&gt;=15,"красная",IF(J12&gt;=10,"оранжевая",IF(J12&gt;=5,"желтая","зеленая"))))</f>
        <v/>
      </c>
      <c r="L12" s="4" t="inlineStr"/>
      <c r="M12" s="4" t="inlineStr"/>
      <c r="N12" s="4" t="inlineStr"/>
      <c r="O12" s="4">
        <f>IF(OR(L12="",M12="",N12=""),"",ROUND(L12*M12/100*N12/12,1))</f>
        <v/>
      </c>
      <c r="P12" s="4" t="inlineStr"/>
      <c r="Q12" s="4" t="inlineStr"/>
      <c r="R12" s="4" t="inlineStr"/>
    </row>
    <row r="13">
      <c r="A13" s="4" t="inlineStr"/>
      <c r="B13" s="4" t="inlineStr"/>
      <c r="C13" s="4" t="inlineStr"/>
      <c r="D13" s="4" t="inlineStr"/>
      <c r="E13" s="4" t="inlineStr"/>
      <c r="F13" s="4" t="inlineStr"/>
      <c r="G13" s="4" t="inlineStr"/>
      <c r="H13" s="4" t="inlineStr"/>
      <c r="I13" s="4">
        <f>IF(COUNT(E13:H13)=0,"",MAX(E13:H13))</f>
        <v/>
      </c>
      <c r="J13" s="4">
        <f>IF(OR(D13="",I13=""),"",D13*I13)</f>
        <v/>
      </c>
      <c r="K13" s="4">
        <f>IF(J13="","",IF(J13&gt;=15,"красная",IF(J13&gt;=10,"оранжевая",IF(J13&gt;=5,"желтая","зеленая"))))</f>
        <v/>
      </c>
      <c r="L13" s="4" t="inlineStr"/>
      <c r="M13" s="4" t="inlineStr"/>
      <c r="N13" s="4" t="inlineStr"/>
      <c r="O13" s="4">
        <f>IF(OR(L13="",M13="",N13=""),"",ROUND(L13*M13/100*N13/12,1))</f>
        <v/>
      </c>
      <c r="P13" s="4" t="inlineStr"/>
      <c r="Q13" s="4" t="inlineStr"/>
      <c r="R13" s="4" t="inlineStr"/>
    </row>
    <row r="14">
      <c r="A14" s="4" t="inlineStr"/>
      <c r="B14" s="4" t="inlineStr"/>
      <c r="C14" s="4" t="inlineStr"/>
      <c r="D14" s="4" t="inlineStr"/>
      <c r="E14" s="4" t="inlineStr"/>
      <c r="F14" s="4" t="inlineStr"/>
      <c r="G14" s="4" t="inlineStr"/>
      <c r="H14" s="4" t="inlineStr"/>
      <c r="I14" s="4">
        <f>IF(COUNT(E14:H14)=0,"",MAX(E14:H14))</f>
        <v/>
      </c>
      <c r="J14" s="4">
        <f>IF(OR(D14="",I14=""),"",D14*I14)</f>
        <v/>
      </c>
      <c r="K14" s="4">
        <f>IF(J14="","",IF(J14&gt;=15,"красная",IF(J14&gt;=10,"оранжевая",IF(J14&gt;=5,"желтая","зеленая"))))</f>
        <v/>
      </c>
      <c r="L14" s="4" t="inlineStr"/>
      <c r="M14" s="4" t="inlineStr"/>
      <c r="N14" s="4" t="inlineStr"/>
      <c r="O14" s="4">
        <f>IF(OR(L14="",M14="",N14=""),"",ROUND(L14*M14/100*N14/12,1))</f>
        <v/>
      </c>
      <c r="P14" s="4" t="inlineStr"/>
      <c r="Q14" s="4" t="inlineStr"/>
      <c r="R14" s="4" t="inlineStr"/>
    </row>
    <row r="15">
      <c r="A15" s="4" t="inlineStr"/>
      <c r="B15" s="4" t="inlineStr"/>
      <c r="C15" s="4" t="inlineStr"/>
      <c r="D15" s="4" t="inlineStr"/>
      <c r="E15" s="4" t="inlineStr"/>
      <c r="F15" s="4" t="inlineStr"/>
      <c r="G15" s="4" t="inlineStr"/>
      <c r="H15" s="4" t="inlineStr"/>
      <c r="I15" s="4">
        <f>IF(COUNT(E15:H15)=0,"",MAX(E15:H15))</f>
        <v/>
      </c>
      <c r="J15" s="4">
        <f>IF(OR(D15="",I15=""),"",D15*I15)</f>
        <v/>
      </c>
      <c r="K15" s="4">
        <f>IF(J15="","",IF(J15&gt;=15,"красная",IF(J15&gt;=10,"оранжевая",IF(J15&gt;=5,"желтая","зеленая"))))</f>
        <v/>
      </c>
      <c r="L15" s="4" t="inlineStr"/>
      <c r="M15" s="4" t="inlineStr"/>
      <c r="N15" s="4" t="inlineStr"/>
      <c r="O15" s="4">
        <f>IF(OR(L15="",M15="",N15=""),"",ROUND(L15*M15/100*N15/12,1))</f>
        <v/>
      </c>
      <c r="P15" s="4" t="inlineStr"/>
      <c r="Q15" s="4" t="inlineStr"/>
      <c r="R15" s="4" t="inlineStr"/>
    </row>
    <row r="16">
      <c r="A16" s="4" t="inlineStr"/>
      <c r="B16" s="4" t="inlineStr"/>
      <c r="C16" s="4" t="inlineStr"/>
      <c r="D16" s="4" t="inlineStr"/>
      <c r="E16" s="4" t="inlineStr"/>
      <c r="F16" s="4" t="inlineStr"/>
      <c r="G16" s="4" t="inlineStr"/>
      <c r="H16" s="4" t="inlineStr"/>
      <c r="I16" s="4">
        <f>IF(COUNT(E16:H16)=0,"",MAX(E16:H16))</f>
        <v/>
      </c>
      <c r="J16" s="4">
        <f>IF(OR(D16="",I16=""),"",D16*I16)</f>
        <v/>
      </c>
      <c r="K16" s="4">
        <f>IF(J16="","",IF(J16&gt;=15,"красная",IF(J16&gt;=10,"оранжевая",IF(J16&gt;=5,"желтая","зеленая"))))</f>
        <v/>
      </c>
      <c r="L16" s="4" t="inlineStr"/>
      <c r="M16" s="4" t="inlineStr"/>
      <c r="N16" s="4" t="inlineStr"/>
      <c r="O16" s="4">
        <f>IF(OR(L16="",M16="",N16=""),"",ROUND(L16*M16/100*N16/12,1))</f>
        <v/>
      </c>
      <c r="P16" s="4" t="inlineStr"/>
      <c r="Q16" s="4" t="inlineStr"/>
      <c r="R16" s="4" t="inlineStr"/>
    </row>
    <row r="17">
      <c r="A17" s="4" t="inlineStr"/>
      <c r="B17" s="4" t="inlineStr"/>
      <c r="C17" s="4" t="inlineStr"/>
      <c r="D17" s="4" t="inlineStr"/>
      <c r="E17" s="4" t="inlineStr"/>
      <c r="F17" s="4" t="inlineStr"/>
      <c r="G17" s="4" t="inlineStr"/>
      <c r="H17" s="4" t="inlineStr"/>
      <c r="I17" s="4">
        <f>IF(COUNT(E17:H17)=0,"",MAX(E17:H17))</f>
        <v/>
      </c>
      <c r="J17" s="4">
        <f>IF(OR(D17="",I17=""),"",D17*I17)</f>
        <v/>
      </c>
      <c r="K17" s="4">
        <f>IF(J17="","",IF(J17&gt;=15,"красная",IF(J17&gt;=10,"оранжевая",IF(J17&gt;=5,"желтая","зеленая"))))</f>
        <v/>
      </c>
      <c r="L17" s="4" t="inlineStr"/>
      <c r="M17" s="4" t="inlineStr"/>
      <c r="N17" s="4" t="inlineStr"/>
      <c r="O17" s="4">
        <f>IF(OR(L17="",M17="",N17=""),"",ROUND(L17*M17/100*N17/12,1))</f>
        <v/>
      </c>
      <c r="P17" s="4" t="inlineStr"/>
      <c r="Q17" s="4" t="inlineStr"/>
      <c r="R17" s="4" t="inlineStr"/>
    </row>
    <row r="18">
      <c r="A18" s="4" t="inlineStr"/>
      <c r="B18" s="4" t="inlineStr"/>
      <c r="C18" s="4" t="inlineStr"/>
      <c r="D18" s="4" t="inlineStr"/>
      <c r="E18" s="4" t="inlineStr"/>
      <c r="F18" s="4" t="inlineStr"/>
      <c r="G18" s="4" t="inlineStr"/>
      <c r="H18" s="4" t="inlineStr"/>
      <c r="I18" s="4">
        <f>IF(COUNT(E18:H18)=0,"",MAX(E18:H18))</f>
        <v/>
      </c>
      <c r="J18" s="4">
        <f>IF(OR(D18="",I18=""),"",D18*I18)</f>
        <v/>
      </c>
      <c r="K18" s="4">
        <f>IF(J18="","",IF(J18&gt;=15,"красная",IF(J18&gt;=10,"оранжевая",IF(J18&gt;=5,"желтая","зеленая"))))</f>
        <v/>
      </c>
      <c r="L18" s="4" t="inlineStr"/>
      <c r="M18" s="4" t="inlineStr"/>
      <c r="N18" s="4" t="inlineStr"/>
      <c r="O18" s="4">
        <f>IF(OR(L18="",M18="",N18=""),"",ROUND(L18*M18/100*N18/12,1))</f>
        <v/>
      </c>
      <c r="P18" s="4" t="inlineStr"/>
      <c r="Q18" s="4" t="inlineStr"/>
      <c r="R18" s="4" t="inlineStr"/>
    </row>
    <row r="19">
      <c r="A19" s="4" t="inlineStr"/>
      <c r="B19" s="4" t="inlineStr"/>
      <c r="C19" s="4" t="inlineStr"/>
      <c r="D19" s="4" t="inlineStr"/>
      <c r="E19" s="4" t="inlineStr"/>
      <c r="F19" s="4" t="inlineStr"/>
      <c r="G19" s="4" t="inlineStr"/>
      <c r="H19" s="4" t="inlineStr"/>
      <c r="I19" s="4">
        <f>IF(COUNT(E19:H19)=0,"",MAX(E19:H19))</f>
        <v/>
      </c>
      <c r="J19" s="4">
        <f>IF(OR(D19="",I19=""),"",D19*I19)</f>
        <v/>
      </c>
      <c r="K19" s="4">
        <f>IF(J19="","",IF(J19&gt;=15,"красная",IF(J19&gt;=10,"оранжевая",IF(J19&gt;=5,"желтая","зеленая"))))</f>
        <v/>
      </c>
      <c r="L19" s="4" t="inlineStr"/>
      <c r="M19" s="4" t="inlineStr"/>
      <c r="N19" s="4" t="inlineStr"/>
      <c r="O19" s="4">
        <f>IF(OR(L19="",M19="",N19=""),"",ROUND(L19*M19/100*N19/12,1))</f>
        <v/>
      </c>
      <c r="P19" s="4" t="inlineStr"/>
      <c r="Q19" s="4" t="inlineStr"/>
      <c r="R19" s="4" t="inlineStr"/>
    </row>
    <row r="20">
      <c r="A20" s="4" t="inlineStr"/>
      <c r="B20" s="4" t="inlineStr"/>
      <c r="C20" s="4" t="inlineStr"/>
      <c r="D20" s="4" t="inlineStr"/>
      <c r="E20" s="4" t="inlineStr"/>
      <c r="F20" s="4" t="inlineStr"/>
      <c r="G20" s="4" t="inlineStr"/>
      <c r="H20" s="4" t="inlineStr"/>
      <c r="I20" s="4">
        <f>IF(COUNT(E20:H20)=0,"",MAX(E20:H20))</f>
        <v/>
      </c>
      <c r="J20" s="4">
        <f>IF(OR(D20="",I20=""),"",D20*I20)</f>
        <v/>
      </c>
      <c r="K20" s="4">
        <f>IF(J20="","",IF(J20&gt;=15,"красная",IF(J20&gt;=10,"оранжевая",IF(J20&gt;=5,"желтая","зеленая"))))</f>
        <v/>
      </c>
      <c r="L20" s="4" t="inlineStr"/>
      <c r="M20" s="4" t="inlineStr"/>
      <c r="N20" s="4" t="inlineStr"/>
      <c r="O20" s="4">
        <f>IF(OR(L20="",M20="",N20=""),"",ROUND(L20*M20/100*N20/12,1))</f>
        <v/>
      </c>
      <c r="P20" s="4" t="inlineStr"/>
      <c r="Q20" s="4" t="inlineStr"/>
      <c r="R20" s="4" t="inlineStr"/>
    </row>
    <row r="21">
      <c r="A21" s="4" t="inlineStr"/>
      <c r="B21" s="4" t="inlineStr"/>
      <c r="C21" s="4" t="inlineStr"/>
      <c r="D21" s="4" t="inlineStr"/>
      <c r="E21" s="4" t="inlineStr"/>
      <c r="F21" s="4" t="inlineStr"/>
      <c r="G21" s="4" t="inlineStr"/>
      <c r="H21" s="4" t="inlineStr"/>
      <c r="I21" s="4">
        <f>IF(COUNT(E21:H21)=0,"",MAX(E21:H21))</f>
        <v/>
      </c>
      <c r="J21" s="4">
        <f>IF(OR(D21="",I21=""),"",D21*I21)</f>
        <v/>
      </c>
      <c r="K21" s="4">
        <f>IF(J21="","",IF(J21&gt;=15,"красная",IF(J21&gt;=10,"оранжевая",IF(J21&gt;=5,"желтая","зеленая"))))</f>
        <v/>
      </c>
      <c r="L21" s="4" t="inlineStr"/>
      <c r="M21" s="4" t="inlineStr"/>
      <c r="N21" s="4" t="inlineStr"/>
      <c r="O21" s="4">
        <f>IF(OR(L21="",M21="",N21=""),"",ROUND(L21*M21/100*N21/12,1))</f>
        <v/>
      </c>
      <c r="P21" s="4" t="inlineStr"/>
      <c r="Q21" s="4" t="inlineStr"/>
      <c r="R21" s="4" t="inlineStr"/>
    </row>
    <row r="22">
      <c r="A22" s="4" t="inlineStr"/>
      <c r="B22" s="4" t="inlineStr"/>
      <c r="C22" s="4" t="inlineStr"/>
      <c r="D22" s="4" t="inlineStr"/>
      <c r="E22" s="4" t="inlineStr"/>
      <c r="F22" s="4" t="inlineStr"/>
      <c r="G22" s="4" t="inlineStr"/>
      <c r="H22" s="4" t="inlineStr"/>
      <c r="I22" s="4">
        <f>IF(COUNT(E22:H22)=0,"",MAX(E22:H22))</f>
        <v/>
      </c>
      <c r="J22" s="4">
        <f>IF(OR(D22="",I22=""),"",D22*I22)</f>
        <v/>
      </c>
      <c r="K22" s="4">
        <f>IF(J22="","",IF(J22&gt;=15,"красная",IF(J22&gt;=10,"оранжевая",IF(J22&gt;=5,"желтая","зеленая"))))</f>
        <v/>
      </c>
      <c r="L22" s="4" t="inlineStr"/>
      <c r="M22" s="4" t="inlineStr"/>
      <c r="N22" s="4" t="inlineStr"/>
      <c r="O22" s="4">
        <f>IF(OR(L22="",M22="",N22=""),"",ROUND(L22*M22/100*N22/12,1))</f>
        <v/>
      </c>
      <c r="P22" s="4" t="inlineStr"/>
      <c r="Q22" s="4" t="inlineStr"/>
      <c r="R22" s="4" t="inlineStr"/>
    </row>
    <row r="23">
      <c r="A23" s="4" t="inlineStr"/>
      <c r="B23" s="4" t="inlineStr"/>
      <c r="C23" s="4" t="inlineStr"/>
      <c r="D23" s="4" t="inlineStr"/>
      <c r="E23" s="4" t="inlineStr"/>
      <c r="F23" s="4" t="inlineStr"/>
      <c r="G23" s="4" t="inlineStr"/>
      <c r="H23" s="4" t="inlineStr"/>
      <c r="I23" s="4">
        <f>IF(COUNT(E23:H23)=0,"",MAX(E23:H23))</f>
        <v/>
      </c>
      <c r="J23" s="4">
        <f>IF(OR(D23="",I23=""),"",D23*I23)</f>
        <v/>
      </c>
      <c r="K23" s="4">
        <f>IF(J23="","",IF(J23&gt;=15,"красная",IF(J23&gt;=10,"оранжевая",IF(J23&gt;=5,"желтая","зеленая"))))</f>
        <v/>
      </c>
      <c r="L23" s="4" t="inlineStr"/>
      <c r="M23" s="4" t="inlineStr"/>
      <c r="N23" s="4" t="inlineStr"/>
      <c r="O23" s="4">
        <f>IF(OR(L23="",M23="",N23=""),"",ROUND(L23*M23/100*N23/12,1))</f>
        <v/>
      </c>
      <c r="P23" s="4" t="inlineStr"/>
      <c r="Q23" s="4" t="inlineStr"/>
      <c r="R23" s="4" t="inlineStr"/>
    </row>
  </sheetData>
  <mergeCells count="1">
    <mergeCell ref="A1:R1"/>
  </mergeCells>
  <conditionalFormatting sqref="J4:J23">
    <cfRule type="cellIs" priority="1" operator="greaterThanOrEqual" dxfId="0">
      <formula>15</formula>
    </cfRule>
    <cfRule type="cellIs" priority="2" operator="between" dxfId="1">
      <formula>10</formula>
      <formula>14</formula>
    </cfRule>
    <cfRule type="cellIs" priority="3" operator="between" dxfId="2">
      <formula>5</formula>
      <formula>9</formula>
    </cfRule>
    <cfRule type="cellIs" priority="4" operator="between" dxfId="3">
      <formula>1</formula>
      <formula>4</formula>
    </cfRule>
  </conditionalFormatting>
  <dataValidations count="2">
    <dataValidation sqref="D4:H23" showDropDown="0" showInputMessage="0" showErrorMessage="0" allowBlank="0" type="whole" operator="between">
      <formula1>1</formula1>
      <formula2>5</formula2>
    </dataValidation>
    <dataValidation sqref="P4:P23" showDropDown="0" showInputMessage="0" showErrorMessage="0" allowBlank="0" type="list">
      <formula1>"есть,нет,частично"</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34" customWidth="1" min="3" max="3"/>
    <col width="30" customWidth="1" min="4" max="4"/>
    <col width="34" customWidth="1" min="5" max="5"/>
  </cols>
  <sheetData>
    <row r="1" ht="34" customHeight="1">
      <c r="A1" s="2" t="inlineStr">
        <is>
          <t>Балл</t>
        </is>
      </c>
      <c r="B1" s="2" t="inlineStr">
        <is>
          <t>Клиенты</t>
        </is>
      </c>
      <c r="C1" s="2" t="inlineStr">
        <is>
          <t>Партнеры и банки</t>
        </is>
      </c>
      <c r="D1" s="2" t="inlineStr">
        <is>
          <t>Регулятор</t>
        </is>
      </c>
      <c r="E1" s="2" t="inlineStr">
        <is>
          <t>Сотрудники и кандидаты</t>
        </is>
      </c>
    </row>
    <row r="2">
      <c r="A2" s="4" t="n">
        <v>1</v>
      </c>
      <c r="B2" s="4" t="inlineStr">
        <is>
          <t>Единичные жалобы, отток не заметен</t>
        </is>
      </c>
      <c r="C2" s="4" t="inlineStr">
        <is>
          <t>Вопросы без изменения условий</t>
        </is>
      </c>
      <c r="D2" s="4" t="inlineStr">
        <is>
          <t>Устный запрос</t>
        </is>
      </c>
      <c r="E2" s="4" t="inlineStr">
        <is>
          <t>Обсуждение внутри компании</t>
        </is>
      </c>
    </row>
    <row r="3">
      <c r="A3" s="4" t="n">
        <v>2</v>
      </c>
      <c r="B3" s="4" t="inlineStr">
        <is>
          <t>Негатив в отзывах, отток до 1 %</t>
        </is>
      </c>
      <c r="C3" s="4" t="inlineStr">
        <is>
          <t>Запрос пояснений от банка или ключевого поставщика</t>
        </is>
      </c>
      <c r="D3" s="4" t="inlineStr">
        <is>
          <t>Письменный запрос</t>
        </is>
      </c>
      <c r="E3" s="4" t="inlineStr">
        <is>
          <t>Рост отказов кандидатов до 10 %</t>
        </is>
      </c>
    </row>
    <row r="4">
      <c r="A4" s="4" t="n">
        <v>3</v>
      </c>
      <c r="B4" s="4" t="inlineStr">
        <is>
          <t>Публикации в отраслевых СМИ, отток 1-3 %</t>
        </is>
      </c>
      <c r="C4" s="4" t="inlineStr">
        <is>
          <t>Ужесточение условий по одному договору</t>
        </is>
      </c>
      <c r="D4" s="4" t="inlineStr">
        <is>
          <t>Внеплановая проверка</t>
        </is>
      </c>
      <c r="E4" s="4" t="inlineStr">
        <is>
          <t>Уход 1-2 ключевых сотрудников, отказы 10-25 %</t>
        </is>
      </c>
    </row>
    <row r="5">
      <c r="A5" s="4" t="n">
        <v>4</v>
      </c>
      <c r="B5" s="4" t="inlineStr">
        <is>
          <t>Федеральные СМИ, отток 3-10 %</t>
        </is>
      </c>
      <c r="C5" s="4" t="inlineStr">
        <is>
          <t>Пересмотр лимитов, отказ в отсрочке</t>
        </is>
      </c>
      <c r="D5" s="4" t="inlineStr">
        <is>
          <t>Предписание, штраф</t>
        </is>
      </c>
      <c r="E5" s="4" t="inlineStr">
        <is>
          <t>Заметный уход ключевых специалистов, отказы 25-50 %</t>
        </is>
      </c>
    </row>
    <row r="6">
      <c r="A6" s="4" t="n">
        <v>5</v>
      </c>
      <c r="B6" s="4" t="inlineStr">
        <is>
          <t>Массовый уход клиентов, более 10 %</t>
        </is>
      </c>
      <c r="C6" s="4" t="inlineStr">
        <is>
          <t>Разрыв отношений, требование досрочного погашения</t>
        </is>
      </c>
      <c r="D6" s="4" t="inlineStr">
        <is>
          <t>Приостановка деятельности, отзыв лицензии</t>
        </is>
      </c>
      <c r="E6" s="4" t="inlineStr">
        <is>
          <t>Коллективный уход, найм парализован</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pane ySplit="3" topLeftCell="A4" activePane="bottomLeft" state="frozen"/>
      <selection pane="bottomLeft" activeCell="A1" sqref="A1"/>
    </sheetView>
  </sheetViews>
  <sheetFormatPr baseColWidth="8" defaultRowHeight="15"/>
  <cols>
    <col width="44" customWidth="1" min="1" max="1"/>
    <col width="34" customWidth="1" min="2" max="2"/>
    <col width="14" customWidth="1" min="3" max="3"/>
    <col width="14" customWidth="1" min="4" max="4"/>
    <col width="14" customWidth="1" min="5" max="5"/>
    <col width="12" customWidth="1" min="6" max="6"/>
  </cols>
  <sheetData>
    <row r="1">
      <c r="A1" s="1" t="inlineStr">
        <is>
          <t>Ущерб репутации измеряется поведением аудиторий. Значения в примере условные; базу «до инцидента» снимают заранее, иначе сравнивать будет не с чем.</t>
        </is>
      </c>
    </row>
    <row r="3" ht="34" customHeight="1">
      <c r="A3" s="2" t="inlineStr">
        <is>
          <t>Показатель</t>
        </is>
      </c>
      <c r="B3" s="2" t="inlineStr">
        <is>
          <t>Как снимать</t>
        </is>
      </c>
      <c r="C3" s="2" t="inlineStr">
        <is>
          <t>До инцидента</t>
        </is>
      </c>
      <c r="D3" s="2" t="inlineStr">
        <is>
          <t>Через 1 месяц</t>
        </is>
      </c>
      <c r="E3" s="2" t="inlineStr">
        <is>
          <t>Через 3 месяца</t>
        </is>
      </c>
      <c r="F3" s="2" t="inlineStr">
        <is>
          <t>Изменение</t>
        </is>
      </c>
    </row>
    <row r="4">
      <c r="A4" s="4" t="inlineStr">
        <is>
          <t>Отток клиентов за месяц, %</t>
        </is>
      </c>
      <c r="B4" s="4" t="inlineStr">
        <is>
          <t>CRM: ушедшие / активные</t>
        </is>
      </c>
      <c r="C4" s="4" t="n">
        <v>2</v>
      </c>
      <c r="D4" s="4" t="n">
        <v>3.5</v>
      </c>
      <c r="E4" s="4" t="n">
        <v>2.4</v>
      </c>
      <c r="F4" s="4">
        <f>IF(OR(C4="",E4=""),"",E4-C4)</f>
        <v/>
      </c>
    </row>
    <row r="5">
      <c r="A5" s="4" t="inlineStr">
        <is>
          <t>Доля отказов кандидатов на ключевые позиции, %</t>
        </is>
      </c>
      <c r="B5" s="4" t="inlineStr">
        <is>
          <t>HR: отказы после оффера</t>
        </is>
      </c>
      <c r="C5" s="4" t="n">
        <v>15</v>
      </c>
      <c r="D5" s="4" t="n">
        <v>30</v>
      </c>
      <c r="E5" s="4" t="n">
        <v>20</v>
      </c>
      <c r="F5" s="4">
        <f>IF(OR(C5="",E5=""),"",E5-C5)</f>
        <v/>
      </c>
    </row>
    <row r="6">
      <c r="A6" s="4" t="inlineStr">
        <is>
          <t>Ставка или лимит у основного банка</t>
        </is>
      </c>
      <c r="B6" s="4" t="inlineStr">
        <is>
          <t>Казначейство</t>
        </is>
      </c>
      <c r="C6" s="4" t="inlineStr"/>
      <c r="D6" s="4" t="inlineStr"/>
      <c r="E6" s="4" t="inlineStr"/>
      <c r="F6" s="4" t="inlineStr"/>
    </row>
    <row r="7">
      <c r="A7" s="4" t="inlineStr">
        <is>
          <t>Тональность упоминаний: доля негативных, %</t>
        </is>
      </c>
      <c r="B7" s="4" t="inlineStr">
        <is>
          <t>Сервис мониторинга СМИ и соцсетей</t>
        </is>
      </c>
      <c r="C7" s="4" t="n">
        <v>8</v>
      </c>
      <c r="D7" s="4" t="n">
        <v>40</v>
      </c>
      <c r="E7" s="4" t="n">
        <v>15</v>
      </c>
      <c r="F7" s="4">
        <f>IF(OR(C7="",E7=""),"",E7-C7)</f>
        <v/>
      </c>
    </row>
    <row r="8">
      <c r="A8" s="4" t="inlineStr">
        <is>
          <t>Обращения регулятора, шт.</t>
        </is>
      </c>
      <c r="B8" s="4" t="inlineStr">
        <is>
          <t>Юридическая служба</t>
        </is>
      </c>
      <c r="C8" s="4" t="n">
        <v>0</v>
      </c>
      <c r="D8" s="4" t="n">
        <v>2</v>
      </c>
      <c r="E8" s="4" t="n">
        <v>1</v>
      </c>
      <c r="F8" s="4">
        <f>IF(OR(C8="",E8=""),"",E8-C8)</f>
        <v/>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0" customWidth="1" min="1" max="1"/>
    <col width="14" customWidth="1" min="2" max="2"/>
    <col width="24" customWidth="1" min="3" max="3"/>
  </cols>
  <sheetData>
    <row r="1" ht="34" customHeight="1">
      <c r="A1" s="2" t="inlineStr">
        <is>
          <t>Зона</t>
        </is>
      </c>
      <c r="B1" s="2" t="inlineStr">
        <is>
          <t>Сценариев</t>
        </is>
      </c>
      <c r="C1" s="2" t="inlineStr">
        <is>
          <t>Потеря выручки, млн руб.</t>
        </is>
      </c>
    </row>
    <row r="2">
      <c r="A2" s="4" t="inlineStr">
        <is>
          <t>красная</t>
        </is>
      </c>
      <c r="B2" s="4">
        <f>COUNTIF(Оценка!K:K,"красная")</f>
        <v/>
      </c>
      <c r="C2" s="4">
        <f>SUMIF(Оценка!K:K,"красная",Оценка!O:O)</f>
        <v/>
      </c>
    </row>
    <row r="3">
      <c r="A3" s="4" t="inlineStr">
        <is>
          <t>оранжевая</t>
        </is>
      </c>
      <c r="B3" s="4">
        <f>COUNTIF(Оценка!K:K,"оранжевая")</f>
        <v/>
      </c>
      <c r="C3" s="4">
        <f>SUMIF(Оценка!K:K,"оранжевая",Оценка!O:O)</f>
        <v/>
      </c>
    </row>
    <row r="4">
      <c r="A4" s="4" t="inlineStr">
        <is>
          <t>желтая</t>
        </is>
      </c>
      <c r="B4" s="4">
        <f>COUNTIF(Оценка!K:K,"желтая")</f>
        <v/>
      </c>
      <c r="C4" s="4">
        <f>SUMIF(Оценка!K:K,"желтая",Оценка!O:O)</f>
        <v/>
      </c>
    </row>
    <row r="5">
      <c r="A5" s="4" t="inlineStr">
        <is>
          <t>зеленая</t>
        </is>
      </c>
      <c r="B5" s="4">
        <f>COUNTIF(Оценка!K:K,"зеленая")</f>
        <v/>
      </c>
      <c r="C5" s="4">
        <f>SUMIF(Оценка!K:K,"зеленая",Оценка!O:O)</f>
        <v/>
      </c>
    </row>
    <row r="6">
      <c r="A6" s="4" t="inlineStr">
        <is>
          <t>Сценариев без готовности первых часов</t>
        </is>
      </c>
      <c r="B6" s="4">
        <f>COUNTIF(Оценка!P:P,"нет")</f>
        <v/>
      </c>
      <c r="C6" s="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20" customWidth="1" min="1" max="1"/>
  </cols>
  <sheetData>
    <row r="1">
      <c r="A1" s="5" t="inlineStr">
        <is>
          <t>Шаблон подготовлен risk-place.ru, практика управления рисками Евгения Теленкова. Свободное использование внутри организации. Версия от 07.10.2026.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2026-10-07T06:59:09Z</dcterms:created>
  <dcterms:modified xmlns:dcterms="http://purl.org/dc/terms/" xmlns:xsi="http://www.w3.org/2001/XMLSchema-instance" xsi:type="dcterms:W3CDTF">2026-10-07T06:59:09Z</dcterms:modified>
</cp:coreProperties>
</file>