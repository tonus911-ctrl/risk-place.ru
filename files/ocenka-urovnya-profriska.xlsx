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а" sheetId="1" state="visible" r:id="rId1"/>
    <sheet xmlns:r="http://schemas.openxmlformats.org/officeDocument/2006/relationships" name="Шкалы" sheetId="2" state="visible" r:id="rId2"/>
    <sheet xmlns:r="http://schemas.openxmlformats.org/officeDocument/2006/relationships" name="Действия" sheetId="3" state="visible" r:id="rId3"/>
    <sheet xmlns:r="http://schemas.openxmlformats.org/officeDocument/2006/relationships" name="Сводка" sheetId="4" state="visible" r:id="rId4"/>
    <sheet xmlns:r="http://schemas.openxmlformats.org/officeDocument/2006/relationships" name="О шаблон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0666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11" customWidth="1" min="4" max="4"/>
    <col width="11" customWidth="1" min="5" max="5"/>
    <col width="8" customWidth="1" min="6" max="6"/>
    <col width="16" customWidth="1" min="7" max="7"/>
    <col width="52" customWidth="1" min="8" max="8"/>
    <col width="16" customWidth="1" min="9" max="9"/>
    <col width="22" customWidth="1" min="10" max="10"/>
  </cols>
  <sheetData>
    <row r="1" ht="42" customHeight="1">
      <c r="A1" s="1" t="inlineStr">
        <is>
          <t>Две первые строки — примеры. Тяжесть и вероятность — числа от 1 до 5 по листу «Шкалы». Балл = тяжесть × вероятность. Пороги уровней: 1-2 незначительный, 3-4 низкий, 5-9 средний, 10-16 высокий, 20-25 недопустимый; закрепите свои в положении о СУОТ.</t>
        </is>
      </c>
    </row>
    <row r="3" ht="44" customHeight="1">
      <c r="A3" s="2" t="inlineStr">
        <is>
          <t>№</t>
        </is>
      </c>
      <c r="B3" s="2" t="inlineStr">
        <is>
          <t>Рабочее место</t>
        </is>
      </c>
      <c r="C3" s="2" t="inlineStr">
        <is>
          <t>Опасность</t>
        </is>
      </c>
      <c r="D3" s="2" t="inlineStr">
        <is>
          <t>Тяжесть (1-5)</t>
        </is>
      </c>
      <c r="E3" s="2" t="inlineStr">
        <is>
          <t>Вероятность (1-5)</t>
        </is>
      </c>
      <c r="F3" s="2" t="inlineStr">
        <is>
          <t>Балл</t>
        </is>
      </c>
      <c r="G3" s="2" t="inlineStr">
        <is>
          <t>Уровень риска</t>
        </is>
      </c>
      <c r="H3" s="2" t="inlineStr">
        <is>
          <t>Обязательное действие</t>
        </is>
      </c>
      <c r="I3" s="2" t="inlineStr">
        <is>
          <t>Срок</t>
        </is>
      </c>
      <c r="J3" s="2" t="inlineStr">
        <is>
          <t>Ответственный</t>
        </is>
      </c>
    </row>
    <row r="4">
      <c r="A4" s="3" t="n">
        <v>1</v>
      </c>
      <c r="B4" s="3" t="inlineStr">
        <is>
          <t>Цех сборки, участок пресса</t>
        </is>
      </c>
      <c r="C4" s="3" t="inlineStr">
        <is>
          <t>Затягивание руки в зону штампа</t>
        </is>
      </c>
      <c r="D4" s="3" t="n">
        <v>4</v>
      </c>
      <c r="E4" s="3" t="n">
        <v>3</v>
      </c>
      <c r="F4" s="3">
        <f>IF(D4*E4=0,"",D4*E4)</f>
        <v/>
      </c>
      <c r="G4" s="3">
        <f>IF(F4="","",IF(F4&gt;=20,"недопустимый",IF(F4&gt;=10,"высокий",IF(F4&gt;=5,"средний",IF(F4&gt;=3,"низкий","незначительный")))))</f>
        <v/>
      </c>
      <c r="H4" s="3">
        <f>IF(G4="","",VLOOKUP(G4,Действия!$A$2:$B$6,2,FALSE))</f>
        <v/>
      </c>
      <c r="I4" s="3" t="inlineStr">
        <is>
          <t>до 31.12.2026</t>
        </is>
      </c>
      <c r="J4" s="3" t="inlineStr">
        <is>
          <t>Начальник цеха</t>
        </is>
      </c>
    </row>
    <row r="5">
      <c r="A5" s="3" t="n">
        <v>2</v>
      </c>
      <c r="B5" s="3" t="inlineStr">
        <is>
          <t>Склад, высотные стеллажи</t>
        </is>
      </c>
      <c r="C5" s="3" t="inlineStr">
        <is>
          <t>Падение груза с верхнего яруса</t>
        </is>
      </c>
      <c r="D5" s="3" t="n">
        <v>3</v>
      </c>
      <c r="E5" s="3" t="n">
        <v>2</v>
      </c>
      <c r="F5" s="3">
        <f>IF(D5*E5=0,"",D5*E5)</f>
        <v/>
      </c>
      <c r="G5" s="3">
        <f>IF(F5="","",IF(F5&gt;=20,"недопустимый",IF(F5&gt;=10,"высокий",IF(F5&gt;=5,"средний",IF(F5&gt;=3,"низкий","незначительный")))))</f>
        <v/>
      </c>
      <c r="H5" s="3">
        <f>IF(G5="","",VLOOKUP(G5,Действия!$A$2:$B$6,2,FALSE))</f>
        <v/>
      </c>
      <c r="I5" s="3" t="inlineStr">
        <is>
          <t>в годовом плане</t>
        </is>
      </c>
      <c r="J5" s="3" t="inlineStr">
        <is>
          <t>Заведующий складом</t>
        </is>
      </c>
    </row>
    <row r="6">
      <c r="A6" s="4" t="n">
        <v>3</v>
      </c>
      <c r="B6" s="4" t="inlineStr"/>
      <c r="C6" s="4" t="inlineStr"/>
      <c r="D6" s="4" t="inlineStr"/>
      <c r="E6" s="4" t="inlineStr"/>
      <c r="F6" s="4">
        <f>IF(D6*E6=0,"",D6*E6)</f>
        <v/>
      </c>
      <c r="G6" s="4">
        <f>IF(F6="","",IF(F6&gt;=20,"недопустимый",IF(F6&gt;=10,"высокий",IF(F6&gt;=5,"средний",IF(F6&gt;=3,"низкий","незначительный")))))</f>
        <v/>
      </c>
      <c r="H6" s="4">
        <f>IF(G6="","",VLOOKUP(G6,Действия!$A$2:$B$6,2,FALSE))</f>
        <v/>
      </c>
      <c r="I6" s="4" t="inlineStr"/>
      <c r="J6" s="4" t="inlineStr"/>
    </row>
    <row r="7">
      <c r="A7" s="4" t="n">
        <v>4</v>
      </c>
      <c r="B7" s="4" t="inlineStr"/>
      <c r="C7" s="4" t="inlineStr"/>
      <c r="D7" s="4" t="inlineStr"/>
      <c r="E7" s="4" t="inlineStr"/>
      <c r="F7" s="4">
        <f>IF(D7*E7=0,"",D7*E7)</f>
        <v/>
      </c>
      <c r="G7" s="4">
        <f>IF(F7="","",IF(F7&gt;=20,"недопустимый",IF(F7&gt;=10,"высокий",IF(F7&gt;=5,"средний",IF(F7&gt;=3,"низкий","незначительный")))))</f>
        <v/>
      </c>
      <c r="H7" s="4">
        <f>IF(G7="","",VLOOKUP(G7,Действия!$A$2:$B$6,2,FALSE))</f>
        <v/>
      </c>
      <c r="I7" s="4" t="inlineStr"/>
      <c r="J7" s="4" t="inlineStr"/>
    </row>
    <row r="8">
      <c r="A8" s="4" t="n">
        <v>5</v>
      </c>
      <c r="B8" s="4" t="inlineStr"/>
      <c r="C8" s="4" t="inlineStr"/>
      <c r="D8" s="4" t="inlineStr"/>
      <c r="E8" s="4" t="inlineStr"/>
      <c r="F8" s="4">
        <f>IF(D8*E8=0,"",D8*E8)</f>
        <v/>
      </c>
      <c r="G8" s="4">
        <f>IF(F8="","",IF(F8&gt;=20,"недопустимый",IF(F8&gt;=10,"высокий",IF(F8&gt;=5,"средний",IF(F8&gt;=3,"низкий","незначительный")))))</f>
        <v/>
      </c>
      <c r="H8" s="4">
        <f>IF(G8="","",VLOOKUP(G8,Действия!$A$2:$B$6,2,FALSE))</f>
        <v/>
      </c>
      <c r="I8" s="4" t="inlineStr"/>
      <c r="J8" s="4" t="inlineStr"/>
    </row>
    <row r="9">
      <c r="A9" s="4" t="n">
        <v>6</v>
      </c>
      <c r="B9" s="4" t="inlineStr"/>
      <c r="C9" s="4" t="inlineStr"/>
      <c r="D9" s="4" t="inlineStr"/>
      <c r="E9" s="4" t="inlineStr"/>
      <c r="F9" s="4">
        <f>IF(D9*E9=0,"",D9*E9)</f>
        <v/>
      </c>
      <c r="G9" s="4">
        <f>IF(F9="","",IF(F9&gt;=20,"недопустимый",IF(F9&gt;=10,"высокий",IF(F9&gt;=5,"средний",IF(F9&gt;=3,"низкий","незначительный")))))</f>
        <v/>
      </c>
      <c r="H9" s="4">
        <f>IF(G9="","",VLOOKUP(G9,Действия!$A$2:$B$6,2,FALSE))</f>
        <v/>
      </c>
      <c r="I9" s="4" t="inlineStr"/>
      <c r="J9" s="4" t="inlineStr"/>
    </row>
    <row r="10">
      <c r="A10" s="4" t="n">
        <v>7</v>
      </c>
      <c r="B10" s="4" t="inlineStr"/>
      <c r="C10" s="4" t="inlineStr"/>
      <c r="D10" s="4" t="inlineStr"/>
      <c r="E10" s="4" t="inlineStr"/>
      <c r="F10" s="4">
        <f>IF(D10*E10=0,"",D10*E10)</f>
        <v/>
      </c>
      <c r="G10" s="4">
        <f>IF(F10="","",IF(F10&gt;=20,"недопустимый",IF(F10&gt;=10,"высокий",IF(F10&gt;=5,"средний",IF(F10&gt;=3,"низкий","незначительный")))))</f>
        <v/>
      </c>
      <c r="H10" s="4">
        <f>IF(G10="","",VLOOKUP(G10,Действия!$A$2:$B$6,2,FALSE))</f>
        <v/>
      </c>
      <c r="I10" s="4" t="inlineStr"/>
      <c r="J10" s="4" t="inlineStr"/>
    </row>
    <row r="11">
      <c r="A11" s="4" t="n">
        <v>8</v>
      </c>
      <c r="B11" s="4" t="inlineStr"/>
      <c r="C11" s="4" t="inlineStr"/>
      <c r="D11" s="4" t="inlineStr"/>
      <c r="E11" s="4" t="inlineStr"/>
      <c r="F11" s="4">
        <f>IF(D11*E11=0,"",D11*E11)</f>
        <v/>
      </c>
      <c r="G11" s="4">
        <f>IF(F11="","",IF(F11&gt;=20,"недопустимый",IF(F11&gt;=10,"высокий",IF(F11&gt;=5,"средний",IF(F11&gt;=3,"низкий","незначительный")))))</f>
        <v/>
      </c>
      <c r="H11" s="4">
        <f>IF(G11="","",VLOOKUP(G11,Действия!$A$2:$B$6,2,FALSE))</f>
        <v/>
      </c>
      <c r="I11" s="4" t="inlineStr"/>
      <c r="J11" s="4" t="inlineStr"/>
    </row>
    <row r="12">
      <c r="A12" s="4" t="n">
        <v>9</v>
      </c>
      <c r="B12" s="4" t="inlineStr"/>
      <c r="C12" s="4" t="inlineStr"/>
      <c r="D12" s="4" t="inlineStr"/>
      <c r="E12" s="4" t="inlineStr"/>
      <c r="F12" s="4">
        <f>IF(D12*E12=0,"",D12*E12)</f>
        <v/>
      </c>
      <c r="G12" s="4">
        <f>IF(F12="","",IF(F12&gt;=20,"недопустимый",IF(F12&gt;=10,"высокий",IF(F12&gt;=5,"средний",IF(F12&gt;=3,"низкий","незначительный")))))</f>
        <v/>
      </c>
      <c r="H12" s="4">
        <f>IF(G12="","",VLOOKUP(G12,Действия!$A$2:$B$6,2,FALSE))</f>
        <v/>
      </c>
      <c r="I12" s="4" t="inlineStr"/>
      <c r="J12" s="4" t="inlineStr"/>
    </row>
    <row r="13">
      <c r="A13" s="4" t="n">
        <v>10</v>
      </c>
      <c r="B13" s="4" t="inlineStr"/>
      <c r="C13" s="4" t="inlineStr"/>
      <c r="D13" s="4" t="inlineStr"/>
      <c r="E13" s="4" t="inlineStr"/>
      <c r="F13" s="4">
        <f>IF(D13*E13=0,"",D13*E13)</f>
        <v/>
      </c>
      <c r="G13" s="4">
        <f>IF(F13="","",IF(F13&gt;=20,"недопустимый",IF(F13&gt;=10,"высокий",IF(F13&gt;=5,"средний",IF(F13&gt;=3,"низкий","незначительный")))))</f>
        <v/>
      </c>
      <c r="H13" s="4">
        <f>IF(G13="","",VLOOKUP(G13,Действия!$A$2:$B$6,2,FALSE))</f>
        <v/>
      </c>
      <c r="I13" s="4" t="inlineStr"/>
      <c r="J13" s="4" t="inlineStr"/>
    </row>
    <row r="14">
      <c r="A14" s="4" t="n">
        <v>11</v>
      </c>
      <c r="B14" s="4" t="inlineStr"/>
      <c r="C14" s="4" t="inlineStr"/>
      <c r="D14" s="4" t="inlineStr"/>
      <c r="E14" s="4" t="inlineStr"/>
      <c r="F14" s="4">
        <f>IF(D14*E14=0,"",D14*E14)</f>
        <v/>
      </c>
      <c r="G14" s="4">
        <f>IF(F14="","",IF(F14&gt;=20,"недопустимый",IF(F14&gt;=10,"высокий",IF(F14&gt;=5,"средний",IF(F14&gt;=3,"низкий","незначительный")))))</f>
        <v/>
      </c>
      <c r="H14" s="4">
        <f>IF(G14="","",VLOOKUP(G14,Действия!$A$2:$B$6,2,FALSE))</f>
        <v/>
      </c>
      <c r="I14" s="4" t="inlineStr"/>
      <c r="J14" s="4" t="inlineStr"/>
    </row>
    <row r="15">
      <c r="A15" s="4" t="n">
        <v>12</v>
      </c>
      <c r="B15" s="4" t="inlineStr"/>
      <c r="C15" s="4" t="inlineStr"/>
      <c r="D15" s="4" t="inlineStr"/>
      <c r="E15" s="4" t="inlineStr"/>
      <c r="F15" s="4">
        <f>IF(D15*E15=0,"",D15*E15)</f>
        <v/>
      </c>
      <c r="G15" s="4">
        <f>IF(F15="","",IF(F15&gt;=20,"недопустимый",IF(F15&gt;=10,"высокий",IF(F15&gt;=5,"средний",IF(F15&gt;=3,"низкий","незначительный")))))</f>
        <v/>
      </c>
      <c r="H15" s="4">
        <f>IF(G15="","",VLOOKUP(G15,Действия!$A$2:$B$6,2,FALSE))</f>
        <v/>
      </c>
      <c r="I15" s="4" t="inlineStr"/>
      <c r="J15" s="4" t="inlineStr"/>
    </row>
    <row r="16">
      <c r="A16" s="4" t="n">
        <v>13</v>
      </c>
      <c r="B16" s="4" t="inlineStr"/>
      <c r="C16" s="4" t="inlineStr"/>
      <c r="D16" s="4" t="inlineStr"/>
      <c r="E16" s="4" t="inlineStr"/>
      <c r="F16" s="4">
        <f>IF(D16*E16=0,"",D16*E16)</f>
        <v/>
      </c>
      <c r="G16" s="4">
        <f>IF(F16="","",IF(F16&gt;=20,"недопустимый",IF(F16&gt;=10,"высокий",IF(F16&gt;=5,"средний",IF(F16&gt;=3,"низкий","незначительный")))))</f>
        <v/>
      </c>
      <c r="H16" s="4">
        <f>IF(G16="","",VLOOKUP(G16,Действия!$A$2:$B$6,2,FALSE))</f>
        <v/>
      </c>
      <c r="I16" s="4" t="inlineStr"/>
      <c r="J16" s="4" t="inlineStr"/>
    </row>
    <row r="17">
      <c r="A17" s="4" t="n">
        <v>14</v>
      </c>
      <c r="B17" s="4" t="inlineStr"/>
      <c r="C17" s="4" t="inlineStr"/>
      <c r="D17" s="4" t="inlineStr"/>
      <c r="E17" s="4" t="inlineStr"/>
      <c r="F17" s="4">
        <f>IF(D17*E17=0,"",D17*E17)</f>
        <v/>
      </c>
      <c r="G17" s="4">
        <f>IF(F17="","",IF(F17&gt;=20,"недопустимый",IF(F17&gt;=10,"высокий",IF(F17&gt;=5,"средний",IF(F17&gt;=3,"низкий","незначительный")))))</f>
        <v/>
      </c>
      <c r="H17" s="4">
        <f>IF(G17="","",VLOOKUP(G17,Действия!$A$2:$B$6,2,FALSE))</f>
        <v/>
      </c>
      <c r="I17" s="4" t="inlineStr"/>
      <c r="J17" s="4" t="inlineStr"/>
    </row>
    <row r="18">
      <c r="A18" s="4" t="n">
        <v>15</v>
      </c>
      <c r="B18" s="4" t="inlineStr"/>
      <c r="C18" s="4" t="inlineStr"/>
      <c r="D18" s="4" t="inlineStr"/>
      <c r="E18" s="4" t="inlineStr"/>
      <c r="F18" s="4">
        <f>IF(D18*E18=0,"",D18*E18)</f>
        <v/>
      </c>
      <c r="G18" s="4">
        <f>IF(F18="","",IF(F18&gt;=20,"недопустимый",IF(F18&gt;=10,"высокий",IF(F18&gt;=5,"средний",IF(F18&gt;=3,"низкий","незначительный")))))</f>
        <v/>
      </c>
      <c r="H18" s="4">
        <f>IF(G18="","",VLOOKUP(G18,Действия!$A$2:$B$6,2,FALSE))</f>
        <v/>
      </c>
      <c r="I18" s="4" t="inlineStr"/>
      <c r="J18" s="4" t="inlineStr"/>
    </row>
    <row r="19">
      <c r="A19" s="4" t="n">
        <v>16</v>
      </c>
      <c r="B19" s="4" t="inlineStr"/>
      <c r="C19" s="4" t="inlineStr"/>
      <c r="D19" s="4" t="inlineStr"/>
      <c r="E19" s="4" t="inlineStr"/>
      <c r="F19" s="4">
        <f>IF(D19*E19=0,"",D19*E19)</f>
        <v/>
      </c>
      <c r="G19" s="4">
        <f>IF(F19="","",IF(F19&gt;=20,"недопустимый",IF(F19&gt;=10,"высокий",IF(F19&gt;=5,"средний",IF(F19&gt;=3,"низкий","незначительный")))))</f>
        <v/>
      </c>
      <c r="H19" s="4">
        <f>IF(G19="","",VLOOKUP(G19,Действия!$A$2:$B$6,2,FALSE))</f>
        <v/>
      </c>
      <c r="I19" s="4" t="inlineStr"/>
      <c r="J19" s="4" t="inlineStr"/>
    </row>
    <row r="20">
      <c r="A20" s="4" t="n">
        <v>17</v>
      </c>
      <c r="B20" s="4" t="inlineStr"/>
      <c r="C20" s="4" t="inlineStr"/>
      <c r="D20" s="4" t="inlineStr"/>
      <c r="E20" s="4" t="inlineStr"/>
      <c r="F20" s="4">
        <f>IF(D20*E20=0,"",D20*E20)</f>
        <v/>
      </c>
      <c r="G20" s="4">
        <f>IF(F20="","",IF(F20&gt;=20,"недопустимый",IF(F20&gt;=10,"высокий",IF(F20&gt;=5,"средний",IF(F20&gt;=3,"низкий","незначительный")))))</f>
        <v/>
      </c>
      <c r="H20" s="4">
        <f>IF(G20="","",VLOOKUP(G20,Действия!$A$2:$B$6,2,FALSE))</f>
        <v/>
      </c>
      <c r="I20" s="4" t="inlineStr"/>
      <c r="J20" s="4" t="inlineStr"/>
    </row>
    <row r="21">
      <c r="A21" s="4" t="n">
        <v>18</v>
      </c>
      <c r="B21" s="4" t="inlineStr"/>
      <c r="C21" s="4" t="inlineStr"/>
      <c r="D21" s="4" t="inlineStr"/>
      <c r="E21" s="4" t="inlineStr"/>
      <c r="F21" s="4">
        <f>IF(D21*E21=0,"",D21*E21)</f>
        <v/>
      </c>
      <c r="G21" s="4">
        <f>IF(F21="","",IF(F21&gt;=20,"недопустимый",IF(F21&gt;=10,"высокий",IF(F21&gt;=5,"средний",IF(F21&gt;=3,"низкий","незначительный")))))</f>
        <v/>
      </c>
      <c r="H21" s="4">
        <f>IF(G21="","",VLOOKUP(G21,Действия!$A$2:$B$6,2,FALSE))</f>
        <v/>
      </c>
      <c r="I21" s="4" t="inlineStr"/>
      <c r="J21" s="4" t="inlineStr"/>
    </row>
    <row r="22">
      <c r="A22" s="4" t="n">
        <v>19</v>
      </c>
      <c r="B22" s="4" t="inlineStr"/>
      <c r="C22" s="4" t="inlineStr"/>
      <c r="D22" s="4" t="inlineStr"/>
      <c r="E22" s="4" t="inlineStr"/>
      <c r="F22" s="4">
        <f>IF(D22*E22=0,"",D22*E22)</f>
        <v/>
      </c>
      <c r="G22" s="4">
        <f>IF(F22="","",IF(F22&gt;=20,"недопустимый",IF(F22&gt;=10,"высокий",IF(F22&gt;=5,"средний",IF(F22&gt;=3,"низкий","незначительный")))))</f>
        <v/>
      </c>
      <c r="H22" s="4">
        <f>IF(G22="","",VLOOKUP(G22,Действия!$A$2:$B$6,2,FALSE))</f>
        <v/>
      </c>
      <c r="I22" s="4" t="inlineStr"/>
      <c r="J22" s="4" t="inlineStr"/>
    </row>
    <row r="23">
      <c r="A23" s="4" t="n">
        <v>20</v>
      </c>
      <c r="B23" s="4" t="inlineStr"/>
      <c r="C23" s="4" t="inlineStr"/>
      <c r="D23" s="4" t="inlineStr"/>
      <c r="E23" s="4" t="inlineStr"/>
      <c r="F23" s="4">
        <f>IF(D23*E23=0,"",D23*E23)</f>
        <v/>
      </c>
      <c r="G23" s="4">
        <f>IF(F23="","",IF(F23&gt;=20,"недопустимый",IF(F23&gt;=10,"высокий",IF(F23&gt;=5,"средний",IF(F23&gt;=3,"низкий","незначительный")))))</f>
        <v/>
      </c>
      <c r="H23" s="4">
        <f>IF(G23="","",VLOOKUP(G23,Действия!$A$2:$B$6,2,FALSE))</f>
        <v/>
      </c>
      <c r="I23" s="4" t="inlineStr"/>
      <c r="J23" s="4" t="inlineStr"/>
    </row>
    <row r="24">
      <c r="A24" s="4" t="n">
        <v>21</v>
      </c>
      <c r="B24" s="4" t="inlineStr"/>
      <c r="C24" s="4" t="inlineStr"/>
      <c r="D24" s="4" t="inlineStr"/>
      <c r="E24" s="4" t="inlineStr"/>
      <c r="F24" s="4">
        <f>IF(D24*E24=0,"",D24*E24)</f>
        <v/>
      </c>
      <c r="G24" s="4">
        <f>IF(F24="","",IF(F24&gt;=20,"недопустимый",IF(F24&gt;=10,"высокий",IF(F24&gt;=5,"средний",IF(F24&gt;=3,"низкий","незначительный")))))</f>
        <v/>
      </c>
      <c r="H24" s="4">
        <f>IF(G24="","",VLOOKUP(G24,Действия!$A$2:$B$6,2,FALSE))</f>
        <v/>
      </c>
      <c r="I24" s="4" t="inlineStr"/>
      <c r="J24" s="4" t="inlineStr"/>
    </row>
    <row r="25">
      <c r="A25" s="4" t="n">
        <v>22</v>
      </c>
      <c r="B25" s="4" t="inlineStr"/>
      <c r="C25" s="4" t="inlineStr"/>
      <c r="D25" s="4" t="inlineStr"/>
      <c r="E25" s="4" t="inlineStr"/>
      <c r="F25" s="4">
        <f>IF(D25*E25=0,"",D25*E25)</f>
        <v/>
      </c>
      <c r="G25" s="4">
        <f>IF(F25="","",IF(F25&gt;=20,"недопустимый",IF(F25&gt;=10,"высокий",IF(F25&gt;=5,"средний",IF(F25&gt;=3,"низкий","незначительный")))))</f>
        <v/>
      </c>
      <c r="H25" s="4">
        <f>IF(G25="","",VLOOKUP(G25,Действия!$A$2:$B$6,2,FALSE))</f>
        <v/>
      </c>
      <c r="I25" s="4" t="inlineStr"/>
      <c r="J25" s="4" t="inlineStr"/>
    </row>
    <row r="26">
      <c r="A26" s="4" t="n">
        <v>23</v>
      </c>
      <c r="B26" s="4" t="inlineStr"/>
      <c r="C26" s="4" t="inlineStr"/>
      <c r="D26" s="4" t="inlineStr"/>
      <c r="E26" s="4" t="inlineStr"/>
      <c r="F26" s="4">
        <f>IF(D26*E26=0,"",D26*E26)</f>
        <v/>
      </c>
      <c r="G26" s="4">
        <f>IF(F26="","",IF(F26&gt;=20,"недопустимый",IF(F26&gt;=10,"высокий",IF(F26&gt;=5,"средний",IF(F26&gt;=3,"низкий","незначительный")))))</f>
        <v/>
      </c>
      <c r="H26" s="4">
        <f>IF(G26="","",VLOOKUP(G26,Действия!$A$2:$B$6,2,FALSE))</f>
        <v/>
      </c>
      <c r="I26" s="4" t="inlineStr"/>
      <c r="J26" s="4" t="inlineStr"/>
    </row>
    <row r="27">
      <c r="A27" s="4" t="n">
        <v>24</v>
      </c>
      <c r="B27" s="4" t="inlineStr"/>
      <c r="C27" s="4" t="inlineStr"/>
      <c r="D27" s="4" t="inlineStr"/>
      <c r="E27" s="4" t="inlineStr"/>
      <c r="F27" s="4">
        <f>IF(D27*E27=0,"",D27*E27)</f>
        <v/>
      </c>
      <c r="G27" s="4">
        <f>IF(F27="","",IF(F27&gt;=20,"недопустимый",IF(F27&gt;=10,"высокий",IF(F27&gt;=5,"средний",IF(F27&gt;=3,"низкий","незначительный")))))</f>
        <v/>
      </c>
      <c r="H27" s="4">
        <f>IF(G27="","",VLOOKUP(G27,Действия!$A$2:$B$6,2,FALSE))</f>
        <v/>
      </c>
      <c r="I27" s="4" t="inlineStr"/>
      <c r="J27" s="4" t="inlineStr"/>
    </row>
    <row r="28">
      <c r="A28" s="4" t="n">
        <v>25</v>
      </c>
      <c r="B28" s="4" t="inlineStr"/>
      <c r="C28" s="4" t="inlineStr"/>
      <c r="D28" s="4" t="inlineStr"/>
      <c r="E28" s="4" t="inlineStr"/>
      <c r="F28" s="4">
        <f>IF(D28*E28=0,"",D28*E28)</f>
        <v/>
      </c>
      <c r="G28" s="4">
        <f>IF(F28="","",IF(F28&gt;=20,"недопустимый",IF(F28&gt;=10,"высокий",IF(F28&gt;=5,"средний",IF(F28&gt;=3,"низкий","незначительный")))))</f>
        <v/>
      </c>
      <c r="H28" s="4">
        <f>IF(G28="","",VLOOKUP(G28,Действия!$A$2:$B$6,2,FALSE))</f>
        <v/>
      </c>
      <c r="I28" s="4" t="inlineStr"/>
      <c r="J28" s="4" t="inlineStr"/>
    </row>
    <row r="29">
      <c r="A29" s="4" t="n">
        <v>26</v>
      </c>
      <c r="B29" s="4" t="inlineStr"/>
      <c r="C29" s="4" t="inlineStr"/>
      <c r="D29" s="4" t="inlineStr"/>
      <c r="E29" s="4" t="inlineStr"/>
      <c r="F29" s="4">
        <f>IF(D29*E29=0,"",D29*E29)</f>
        <v/>
      </c>
      <c r="G29" s="4">
        <f>IF(F29="","",IF(F29&gt;=20,"недопустимый",IF(F29&gt;=10,"высокий",IF(F29&gt;=5,"средний",IF(F29&gt;=3,"низкий","незначительный")))))</f>
        <v/>
      </c>
      <c r="H29" s="4">
        <f>IF(G29="","",VLOOKUP(G29,Действия!$A$2:$B$6,2,FALSE))</f>
        <v/>
      </c>
      <c r="I29" s="4" t="inlineStr"/>
      <c r="J29" s="4" t="inlineStr"/>
    </row>
    <row r="30">
      <c r="A30" s="4" t="n">
        <v>27</v>
      </c>
      <c r="B30" s="4" t="inlineStr"/>
      <c r="C30" s="4" t="inlineStr"/>
      <c r="D30" s="4" t="inlineStr"/>
      <c r="E30" s="4" t="inlineStr"/>
      <c r="F30" s="4">
        <f>IF(D30*E30=0,"",D30*E30)</f>
        <v/>
      </c>
      <c r="G30" s="4">
        <f>IF(F30="","",IF(F30&gt;=20,"недопустимый",IF(F30&gt;=10,"высокий",IF(F30&gt;=5,"средний",IF(F30&gt;=3,"низкий","незначительный")))))</f>
        <v/>
      </c>
      <c r="H30" s="4">
        <f>IF(G30="","",VLOOKUP(G30,Действия!$A$2:$B$6,2,FALSE))</f>
        <v/>
      </c>
      <c r="I30" s="4" t="inlineStr"/>
      <c r="J30" s="4" t="inlineStr"/>
    </row>
    <row r="31">
      <c r="A31" s="4" t="n">
        <v>28</v>
      </c>
      <c r="B31" s="4" t="inlineStr"/>
      <c r="C31" s="4" t="inlineStr"/>
      <c r="D31" s="4" t="inlineStr"/>
      <c r="E31" s="4" t="inlineStr"/>
      <c r="F31" s="4">
        <f>IF(D31*E31=0,"",D31*E31)</f>
        <v/>
      </c>
      <c r="G31" s="4">
        <f>IF(F31="","",IF(F31&gt;=20,"недопустимый",IF(F31&gt;=10,"высокий",IF(F31&gt;=5,"средний",IF(F31&gt;=3,"низкий","незначительный")))))</f>
        <v/>
      </c>
      <c r="H31" s="4">
        <f>IF(G31="","",VLOOKUP(G31,Действия!$A$2:$B$6,2,FALSE))</f>
        <v/>
      </c>
      <c r="I31" s="4" t="inlineStr"/>
      <c r="J31" s="4" t="inlineStr"/>
    </row>
    <row r="32">
      <c r="A32" s="4" t="n">
        <v>29</v>
      </c>
      <c r="B32" s="4" t="inlineStr"/>
      <c r="C32" s="4" t="inlineStr"/>
      <c r="D32" s="4" t="inlineStr"/>
      <c r="E32" s="4" t="inlineStr"/>
      <c r="F32" s="4">
        <f>IF(D32*E32=0,"",D32*E32)</f>
        <v/>
      </c>
      <c r="G32" s="4">
        <f>IF(F32="","",IF(F32&gt;=20,"недопустимый",IF(F32&gt;=10,"высокий",IF(F32&gt;=5,"средний",IF(F32&gt;=3,"низкий","незначительный")))))</f>
        <v/>
      </c>
      <c r="H32" s="4">
        <f>IF(G32="","",VLOOKUP(G32,Действия!$A$2:$B$6,2,FALSE))</f>
        <v/>
      </c>
      <c r="I32" s="4" t="inlineStr"/>
      <c r="J32" s="4" t="inlineStr"/>
    </row>
    <row r="33">
      <c r="A33" s="4" t="n">
        <v>30</v>
      </c>
      <c r="B33" s="4" t="inlineStr"/>
      <c r="C33" s="4" t="inlineStr"/>
      <c r="D33" s="4" t="inlineStr"/>
      <c r="E33" s="4" t="inlineStr"/>
      <c r="F33" s="4">
        <f>IF(D33*E33=0,"",D33*E33)</f>
        <v/>
      </c>
      <c r="G33" s="4">
        <f>IF(F33="","",IF(F33&gt;=20,"недопустимый",IF(F33&gt;=10,"высокий",IF(F33&gt;=5,"средний",IF(F33&gt;=3,"низкий","незначительный")))))</f>
        <v/>
      </c>
      <c r="H33" s="4">
        <f>IF(G33="","",VLOOKUP(G33,Действия!$A$2:$B$6,2,FALSE))</f>
        <v/>
      </c>
      <c r="I33" s="4" t="inlineStr"/>
      <c r="J33" s="4" t="inlineStr"/>
    </row>
    <row r="34">
      <c r="A34" s="4" t="n">
        <v>31</v>
      </c>
      <c r="B34" s="4" t="inlineStr"/>
      <c r="C34" s="4" t="inlineStr"/>
      <c r="D34" s="4" t="inlineStr"/>
      <c r="E34" s="4" t="inlineStr"/>
      <c r="F34" s="4">
        <f>IF(D34*E34=0,"",D34*E34)</f>
        <v/>
      </c>
      <c r="G34" s="4">
        <f>IF(F34="","",IF(F34&gt;=20,"недопустимый",IF(F34&gt;=10,"высокий",IF(F34&gt;=5,"средний",IF(F34&gt;=3,"низкий","незначительный")))))</f>
        <v/>
      </c>
      <c r="H34" s="4">
        <f>IF(G34="","",VLOOKUP(G34,Действия!$A$2:$B$6,2,FALSE))</f>
        <v/>
      </c>
      <c r="I34" s="4" t="inlineStr"/>
      <c r="J34" s="4" t="inlineStr"/>
    </row>
    <row r="35">
      <c r="A35" s="4" t="n">
        <v>32</v>
      </c>
      <c r="B35" s="4" t="inlineStr"/>
      <c r="C35" s="4" t="inlineStr"/>
      <c r="D35" s="4" t="inlineStr"/>
      <c r="E35" s="4" t="inlineStr"/>
      <c r="F35" s="4">
        <f>IF(D35*E35=0,"",D35*E35)</f>
        <v/>
      </c>
      <c r="G35" s="4">
        <f>IF(F35="","",IF(F35&gt;=20,"недопустимый",IF(F35&gt;=10,"высокий",IF(F35&gt;=5,"средний",IF(F35&gt;=3,"низкий","незначительный")))))</f>
        <v/>
      </c>
      <c r="H35" s="4">
        <f>IF(G35="","",VLOOKUP(G35,Действия!$A$2:$B$6,2,FALSE))</f>
        <v/>
      </c>
      <c r="I35" s="4" t="inlineStr"/>
      <c r="J35" s="4" t="inlineStr"/>
    </row>
    <row r="36">
      <c r="A36" s="4" t="n">
        <v>33</v>
      </c>
      <c r="B36" s="4" t="inlineStr"/>
      <c r="C36" s="4" t="inlineStr"/>
      <c r="D36" s="4" t="inlineStr"/>
      <c r="E36" s="4" t="inlineStr"/>
      <c r="F36" s="4">
        <f>IF(D36*E36=0,"",D36*E36)</f>
        <v/>
      </c>
      <c r="G36" s="4">
        <f>IF(F36="","",IF(F36&gt;=20,"недопустимый",IF(F36&gt;=10,"высокий",IF(F36&gt;=5,"средний",IF(F36&gt;=3,"низкий","незначительный")))))</f>
        <v/>
      </c>
      <c r="H36" s="4">
        <f>IF(G36="","",VLOOKUP(G36,Действия!$A$2:$B$6,2,FALSE))</f>
        <v/>
      </c>
      <c r="I36" s="4" t="inlineStr"/>
      <c r="J36" s="4" t="inlineStr"/>
    </row>
    <row r="37">
      <c r="A37" s="4" t="n">
        <v>34</v>
      </c>
      <c r="B37" s="4" t="inlineStr"/>
      <c r="C37" s="4" t="inlineStr"/>
      <c r="D37" s="4" t="inlineStr"/>
      <c r="E37" s="4" t="inlineStr"/>
      <c r="F37" s="4">
        <f>IF(D37*E37=0,"",D37*E37)</f>
        <v/>
      </c>
      <c r="G37" s="4">
        <f>IF(F37="","",IF(F37&gt;=20,"недопустимый",IF(F37&gt;=10,"высокий",IF(F37&gt;=5,"средний",IF(F37&gt;=3,"низкий","незначительный")))))</f>
        <v/>
      </c>
      <c r="H37" s="4">
        <f>IF(G37="","",VLOOKUP(G37,Действия!$A$2:$B$6,2,FALSE))</f>
        <v/>
      </c>
      <c r="I37" s="4" t="inlineStr"/>
      <c r="J37" s="4" t="inlineStr"/>
    </row>
    <row r="38">
      <c r="A38" s="4" t="n">
        <v>35</v>
      </c>
      <c r="B38" s="4" t="inlineStr"/>
      <c r="C38" s="4" t="inlineStr"/>
      <c r="D38" s="4" t="inlineStr"/>
      <c r="E38" s="4" t="inlineStr"/>
      <c r="F38" s="4">
        <f>IF(D38*E38=0,"",D38*E38)</f>
        <v/>
      </c>
      <c r="G38" s="4">
        <f>IF(F38="","",IF(F38&gt;=20,"недопустимый",IF(F38&gt;=10,"высокий",IF(F38&gt;=5,"средний",IF(F38&gt;=3,"низкий","незначительный")))))</f>
        <v/>
      </c>
      <c r="H38" s="4">
        <f>IF(G38="","",VLOOKUP(G38,Действия!$A$2:$B$6,2,FALSE))</f>
        <v/>
      </c>
      <c r="I38" s="4" t="inlineStr"/>
      <c r="J38" s="4" t="inlineStr"/>
    </row>
    <row r="39">
      <c r="A39" s="4" t="n">
        <v>36</v>
      </c>
      <c r="B39" s="4" t="inlineStr"/>
      <c r="C39" s="4" t="inlineStr"/>
      <c r="D39" s="4" t="inlineStr"/>
      <c r="E39" s="4" t="inlineStr"/>
      <c r="F39" s="4">
        <f>IF(D39*E39=0,"",D39*E39)</f>
        <v/>
      </c>
      <c r="G39" s="4">
        <f>IF(F39="","",IF(F39&gt;=20,"недопустимый",IF(F39&gt;=10,"высокий",IF(F39&gt;=5,"средний",IF(F39&gt;=3,"низкий","незначительный")))))</f>
        <v/>
      </c>
      <c r="H39" s="4">
        <f>IF(G39="","",VLOOKUP(G39,Действия!$A$2:$B$6,2,FALSE))</f>
        <v/>
      </c>
      <c r="I39" s="4" t="inlineStr"/>
      <c r="J39" s="4" t="inlineStr"/>
    </row>
    <row r="40">
      <c r="A40" s="4" t="n">
        <v>37</v>
      </c>
      <c r="B40" s="4" t="inlineStr"/>
      <c r="C40" s="4" t="inlineStr"/>
      <c r="D40" s="4" t="inlineStr"/>
      <c r="E40" s="4" t="inlineStr"/>
      <c r="F40" s="4">
        <f>IF(D40*E40=0,"",D40*E40)</f>
        <v/>
      </c>
      <c r="G40" s="4">
        <f>IF(F40="","",IF(F40&gt;=20,"недопустимый",IF(F40&gt;=10,"высокий",IF(F40&gt;=5,"средний",IF(F40&gt;=3,"низкий","незначительный")))))</f>
        <v/>
      </c>
      <c r="H40" s="4">
        <f>IF(G40="","",VLOOKUP(G40,Действия!$A$2:$B$6,2,FALSE))</f>
        <v/>
      </c>
      <c r="I40" s="4" t="inlineStr"/>
      <c r="J40" s="4" t="inlineStr"/>
    </row>
    <row r="41">
      <c r="A41" s="4" t="n">
        <v>38</v>
      </c>
      <c r="B41" s="4" t="inlineStr"/>
      <c r="C41" s="4" t="inlineStr"/>
      <c r="D41" s="4" t="inlineStr"/>
      <c r="E41" s="4" t="inlineStr"/>
      <c r="F41" s="4">
        <f>IF(D41*E41=0,"",D41*E41)</f>
        <v/>
      </c>
      <c r="G41" s="4">
        <f>IF(F41="","",IF(F41&gt;=20,"недопустимый",IF(F41&gt;=10,"высокий",IF(F41&gt;=5,"средний",IF(F41&gt;=3,"низкий","незначительный")))))</f>
        <v/>
      </c>
      <c r="H41" s="4">
        <f>IF(G41="","",VLOOKUP(G41,Действия!$A$2:$B$6,2,FALSE))</f>
        <v/>
      </c>
      <c r="I41" s="4" t="inlineStr"/>
      <c r="J41" s="4" t="inlineStr"/>
    </row>
    <row r="42">
      <c r="A42" s="4" t="n">
        <v>39</v>
      </c>
      <c r="B42" s="4" t="inlineStr"/>
      <c r="C42" s="4" t="inlineStr"/>
      <c r="D42" s="4" t="inlineStr"/>
      <c r="E42" s="4" t="inlineStr"/>
      <c r="F42" s="4">
        <f>IF(D42*E42=0,"",D42*E42)</f>
        <v/>
      </c>
      <c r="G42" s="4">
        <f>IF(F42="","",IF(F42&gt;=20,"недопустимый",IF(F42&gt;=10,"высокий",IF(F42&gt;=5,"средний",IF(F42&gt;=3,"низкий","незначительный")))))</f>
        <v/>
      </c>
      <c r="H42" s="4">
        <f>IF(G42="","",VLOOKUP(G42,Действия!$A$2:$B$6,2,FALSE))</f>
        <v/>
      </c>
      <c r="I42" s="4" t="inlineStr"/>
      <c r="J42" s="4" t="inlineStr"/>
    </row>
    <row r="43">
      <c r="A43" s="4" t="n">
        <v>40</v>
      </c>
      <c r="B43" s="4" t="inlineStr"/>
      <c r="C43" s="4" t="inlineStr"/>
      <c r="D43" s="4" t="inlineStr"/>
      <c r="E43" s="4" t="inlineStr"/>
      <c r="F43" s="4">
        <f>IF(D43*E43=0,"",D43*E43)</f>
        <v/>
      </c>
      <c r="G43" s="4">
        <f>IF(F43="","",IF(F43&gt;=20,"недопустимый",IF(F43&gt;=10,"высокий",IF(F43&gt;=5,"средний",IF(F43&gt;=3,"низкий","незначительный")))))</f>
        <v/>
      </c>
      <c r="H43" s="4">
        <f>IF(G43="","",VLOOKUP(G43,Действия!$A$2:$B$6,2,FALSE))</f>
        <v/>
      </c>
      <c r="I43" s="4" t="inlineStr"/>
      <c r="J43" s="4" t="inlineStr"/>
    </row>
  </sheetData>
  <mergeCells count="1">
    <mergeCell ref="A1:J1"/>
  </mergeCells>
  <conditionalFormatting sqref="G4:G43">
    <cfRule type="expression" priority="1" dxfId="0">
      <formula>ISNUMBER(SEARCH("недопустимый",G4))</formula>
    </cfRule>
    <cfRule type="expression" priority="2" dxfId="1">
      <formula>ISNUMBER(SEARCH("высокий",G4))</formula>
    </cfRule>
    <cfRule type="expression" priority="3" dxfId="2">
      <formula>ISNUMBER(SEARCH("средний",G4))</formula>
    </cfRule>
    <cfRule type="expression" priority="4" dxfId="3">
      <formula>ISNUMBER(SEARCH("низкий",G4))</formula>
    </cfRule>
  </conditionalFormatting>
  <dataValidations count="2">
    <dataValidation sqref="D4:D43" showDropDown="0" showInputMessage="0" showErrorMessage="0" allowBlank="1" error="Введите число от 1 до 5" type="whole" operator="between">
      <formula1>1</formula1>
      <formula2>5</formula2>
    </dataValidation>
    <dataValidation sqref="E4:E43" showDropDown="0" showInputMessage="0" showErrorMessage="0" allowBlank="1" error="Введите число от 1 до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0" customWidth="1" min="3" max="3"/>
  </cols>
  <sheetData>
    <row r="1" ht="44" customHeight="1">
      <c r="A1" s="2" t="inlineStr">
        <is>
          <t>Балл</t>
        </is>
      </c>
      <c r="B1" s="2" t="inlineStr">
        <is>
          <t>Тяжесть последствий</t>
        </is>
      </c>
      <c r="C1" s="2" t="inlineStr">
        <is>
          <t>Описание</t>
        </is>
      </c>
    </row>
    <row r="2">
      <c r="A2" s="4" t="n">
        <v>1</v>
      </c>
      <c r="B2" s="4" t="inlineStr">
        <is>
          <t>Незначительная</t>
        </is>
      </c>
      <c r="C2" s="4" t="inlineStr">
        <is>
          <t>Микротравма, дискомфорт, восстановление без обращения за помощью</t>
        </is>
      </c>
    </row>
    <row r="3">
      <c r="A3" s="4" t="n">
        <v>2</v>
      </c>
      <c r="B3" s="4" t="inlineStr">
        <is>
          <t>Малая</t>
        </is>
      </c>
      <c r="C3" s="4" t="inlineStr">
        <is>
          <t>Травма с оказанием первой помощи, без потери трудоспособности</t>
        </is>
      </c>
    </row>
    <row r="4">
      <c r="A4" s="4" t="n">
        <v>3</v>
      </c>
      <c r="B4" s="4" t="inlineStr">
        <is>
          <t>Средняя</t>
        </is>
      </c>
      <c r="C4" s="4" t="inlineStr">
        <is>
          <t>Травма с временной потерей трудоспособности до 30 дней</t>
        </is>
      </c>
    </row>
    <row r="5">
      <c r="A5" s="4" t="n">
        <v>4</v>
      </c>
      <c r="B5" s="4" t="inlineStr">
        <is>
          <t>Тяжелая</t>
        </is>
      </c>
      <c r="C5" s="4" t="inlineStr">
        <is>
          <t>Тяжелая травма, длительная нетрудоспособность, профессиональное заболевание, стойкая утрата</t>
        </is>
      </c>
    </row>
    <row r="6">
      <c r="A6" s="4" t="n">
        <v>5</v>
      </c>
      <c r="B6" s="4" t="inlineStr">
        <is>
          <t>Критическая</t>
        </is>
      </c>
      <c r="C6" s="4" t="inlineStr">
        <is>
          <t>Смертельный исход или групповой несчастный случай</t>
        </is>
      </c>
    </row>
    <row r="9">
      <c r="A9" s="5" t="inlineStr">
        <is>
          <t>Балл</t>
        </is>
      </c>
      <c r="B9" s="5" t="inlineStr">
        <is>
          <t>Вероятность</t>
        </is>
      </c>
      <c r="C9" s="5" t="inlineStr">
        <is>
          <t>Описание</t>
        </is>
      </c>
    </row>
    <row r="10">
      <c r="A10" s="4" t="n">
        <v>1</v>
      </c>
      <c r="B10" s="4" t="inlineStr">
        <is>
          <t>Очень низкая</t>
        </is>
      </c>
      <c r="C10" s="4" t="inlineStr">
        <is>
          <t>Событие теоретически возможно, случаев в отрасли единицы, защита многоуровневая</t>
        </is>
      </c>
    </row>
    <row r="11">
      <c r="A11" s="4" t="n">
        <v>2</v>
      </c>
      <c r="B11" s="4" t="inlineStr">
        <is>
          <t>Низкая</t>
        </is>
      </c>
      <c r="C11" s="4" t="inlineStr">
        <is>
          <t>Событие возможно при совпадении нескольких условий, есть исправная защита</t>
        </is>
      </c>
    </row>
    <row r="12">
      <c r="A12" s="4" t="n">
        <v>3</v>
      </c>
      <c r="B12" s="4" t="inlineStr">
        <is>
          <t>Средняя</t>
        </is>
      </c>
      <c r="C12" s="4" t="inlineStr">
        <is>
          <t>Событие происходит эпизодически на аналогичных работах, защита есть, но зависит от действий работника</t>
        </is>
      </c>
    </row>
    <row r="13">
      <c r="A13" s="4" t="n">
        <v>4</v>
      </c>
      <c r="B13" s="4" t="inlineStr">
        <is>
          <t>Высокая</t>
        </is>
      </c>
      <c r="C13" s="4" t="inlineStr">
        <is>
          <t>Событие происходило на предприятии или в отрасли регулярно, защита частичная</t>
        </is>
      </c>
    </row>
    <row r="14">
      <c r="A14" s="4" t="n">
        <v>5</v>
      </c>
      <c r="B14" s="4" t="inlineStr">
        <is>
          <t>Очень высокая</t>
        </is>
      </c>
      <c r="C14" s="4" t="inlineStr">
        <is>
          <t>Событие происходит регулярно, защиты нет или она не работает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44" customHeight="1">
      <c r="A1" s="2" t="inlineStr">
        <is>
          <t>Уровень</t>
        </is>
      </c>
      <c r="B1" s="2" t="inlineStr">
        <is>
          <t>Обязательное действие</t>
        </is>
      </c>
    </row>
    <row r="2">
      <c r="A2" s="4" t="inlineStr">
        <is>
          <t>недопустимый</t>
        </is>
      </c>
      <c r="B2" s="4" t="inlineStr">
        <is>
          <t>Работа не начинается или останавливается до реализации мер; решение оформляется письменно</t>
        </is>
      </c>
    </row>
    <row r="3">
      <c r="A3" s="4" t="inlineStr">
        <is>
          <t>высокий</t>
        </is>
      </c>
      <c r="B3" s="4" t="inlineStr">
        <is>
          <t>Обязательные меры в установленный срок, обычно до трех месяцев, с промежуточным контролем</t>
        </is>
      </c>
    </row>
    <row r="4">
      <c r="A4" s="4" t="inlineStr">
        <is>
          <t>средний</t>
        </is>
      </c>
      <c r="B4" s="4" t="inlineStr">
        <is>
          <t>Меры в годовом плане; при невозможности снижения усилить контроль и обучение</t>
        </is>
      </c>
    </row>
    <row r="5">
      <c r="A5" s="4" t="inlineStr">
        <is>
          <t>низкий</t>
        </is>
      </c>
      <c r="B5" s="4" t="inlineStr">
        <is>
          <t>Меры не обязательны; поддерживать существующие барьеры и пересматривать периодически</t>
        </is>
      </c>
    </row>
    <row r="6">
      <c r="A6" s="4" t="inlineStr">
        <is>
          <t>незначительный</t>
        </is>
      </c>
      <c r="B6" s="4" t="inlineStr">
        <is>
          <t>Наблюдение при плановом пересмотре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44" customHeight="1">
      <c r="A1" s="2" t="inlineStr">
        <is>
          <t>Уровень</t>
        </is>
      </c>
      <c r="B1" s="2" t="inlineStr">
        <is>
          <t>Число опасностей</t>
        </is>
      </c>
    </row>
    <row r="2">
      <c r="A2" s="4" t="inlineStr">
        <is>
          <t>недопустимый</t>
        </is>
      </c>
      <c r="B2" s="4">
        <f>COUNTIF(Оценка!G:G,"недопустимый")</f>
        <v/>
      </c>
    </row>
    <row r="3">
      <c r="A3" s="4" t="inlineStr">
        <is>
          <t>высокий</t>
        </is>
      </c>
      <c r="B3" s="4">
        <f>COUNTIF(Оценка!G:G,"высокий")</f>
        <v/>
      </c>
    </row>
    <row r="4">
      <c r="A4" s="4" t="inlineStr">
        <is>
          <t>средний</t>
        </is>
      </c>
      <c r="B4" s="4">
        <f>COUNTIF(Оценка!G:G,"средний")</f>
        <v/>
      </c>
    </row>
    <row r="5">
      <c r="A5" s="4" t="inlineStr">
        <is>
          <t>низкий</t>
        </is>
      </c>
      <c r="B5" s="4">
        <f>COUNTIF(Оценка!G:G,"низкий")</f>
        <v/>
      </c>
    </row>
    <row r="6">
      <c r="A6" s="4" t="inlineStr">
        <is>
          <t>незначительный</t>
        </is>
      </c>
      <c r="B6" s="4">
        <f>COUNTIF(Оценка!G:G,"незначительный")</f>
        <v/>
      </c>
    </row>
    <row r="7">
      <c r="A7" s="4" t="inlineStr">
        <is>
          <t>Доля средних, %</t>
        </is>
      </c>
      <c r="B7" s="4">
        <f>IF(SUM(B2:B6)=0,"",ROUND(B4/SUM(B2:B6)*100,0))</f>
        <v/>
      </c>
    </row>
    <row r="9">
      <c r="A9" s="6" t="inlineStr">
        <is>
          <t>Если средний уровень получили почти все опасности, шкалы не различают ситуации: уточните критерии.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Шаблон подготовлен risk-place.ru. Свободное использование внутри организации. Версия от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2026-10-16T12:00:38Z</dcterms:created>
  <dcterms:modified xmlns:dcterms="http://purl.org/dc/terms/" xmlns:xsi="http://www.w3.org/2001/XMLSchema-instance" xsi:type="dcterms:W3CDTF">2026-10-16T12:00:38Z</dcterms:modified>
</cp:coreProperties>
</file>