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требований" sheetId="1" state="visible" r:id="rId1"/>
    <sheet xmlns:r="http://schemas.openxmlformats.org/officeDocument/2006/relationships" name="Для корпоративного реестра" sheetId="2" state="visible" r:id="rId2"/>
    <sheet xmlns:r="http://schemas.openxmlformats.org/officeDocument/2006/relationships" name="Порядок работы" sheetId="3" state="visible" r:id="rId3"/>
    <sheet xmlns:r="http://schemas.openxmlformats.org/officeDocument/2006/relationships" name="О шаблон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666666"/>
      <sz val="9"/>
    </font>
    <font>
      <b val="1"/>
      <color rgb="00FFFFFF"/>
      <sz val="10"/>
    </font>
    <font>
      <sz val="10"/>
    </font>
    <font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3F5F9"/>
      </patternFill>
    </fill>
    <fill>
      <patternFill patternType="solid">
        <fgColor rgb="00FFF7DB"/>
      </patternFill>
    </fill>
  </fills>
  <borders count="2">
    <border>
      <left/>
      <right/>
      <top/>
      <bottom/>
      <diagonal/>
    </border>
    <border>
      <left style="thin">
        <color rgb="00C9CED8"/>
      </left>
      <right style="thin">
        <color rgb="00C9CED8"/>
      </right>
      <top style="thin">
        <color rgb="00C9CED8"/>
      </top>
      <bottom style="thin">
        <color rgb="00C9CED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2" borderId="1" applyAlignment="1" pivotButton="0" quotePrefix="0" xfId="0">
      <alignment wrapText="1"/>
    </xf>
    <xf numFmtId="0" fontId="0" fillId="0" borderId="1" pivotButton="0" quotePrefix="0" xfId="0"/>
    <xf numFmtId="0" fontId="0" fillId="4" borderId="1" pivotButton="0" quotePrefix="0" xfId="0"/>
    <xf numFmtId="0" fontId="1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22" customWidth="1" min="3" max="3"/>
    <col width="28" customWidth="1" min="4" max="4"/>
    <col width="24" customWidth="1" min="5" max="5"/>
    <col width="11" customWidth="1" min="6" max="6"/>
    <col width="14" customWidth="1" min="7" max="7"/>
    <col width="18" customWidth="1" min="8" max="8"/>
    <col width="10" customWidth="1" min="9" max="9"/>
    <col width="22" customWidth="1" min="10" max="10"/>
    <col width="36" customWidth="1" min="11" max="11"/>
    <col width="30" customWidth="1" min="12" max="12"/>
    <col width="12" customWidth="1" min="13" max="13"/>
    <col width="12" customWidth="1" min="14" max="14"/>
  </cols>
  <sheetData>
    <row r="1" ht="54" customHeight="1">
      <c r="A1" s="1" t="inlineStr">
        <is>
          <t>Три измерения со страницы risk-place.ru/komplaens-riski/: тяжесть последствий, подверженность и надежность механизма. Владелец — руководитель процесса, в котором требование исполняется. Балл = тяжесть × подверженность (3/2/1) × слабость механизма (отсутствует 4, есть на бумаге 3, выполняется 2, проверенно работает 1). Первая строка — пример.</t>
        </is>
      </c>
    </row>
    <row r="3" ht="44" customHeight="1">
      <c r="A3" s="2" t="inlineStr">
        <is>
          <t>№</t>
        </is>
      </c>
      <c r="B3" s="2" t="inlineStr">
        <is>
          <t>Требование (норма, акт)</t>
        </is>
      </c>
      <c r="C3" s="2" t="inlineStr">
        <is>
          <t>Направление</t>
        </is>
      </c>
      <c r="D3" s="2" t="inlineStr">
        <is>
          <t>Процесс, где исполняется</t>
        </is>
      </c>
      <c r="E3" s="2" t="inlineStr">
        <is>
          <t>Владелец (руководитель процесса)</t>
        </is>
      </c>
      <c r="F3" s="2" t="inlineStr">
        <is>
          <t>Тяжесть последствий (1-5)</t>
        </is>
      </c>
      <c r="G3" s="2" t="inlineStr">
        <is>
          <t>Подверженность</t>
        </is>
      </c>
      <c r="H3" s="2" t="inlineStr">
        <is>
          <t>Надежность механизма</t>
        </is>
      </c>
      <c r="I3" s="2" t="inlineStr">
        <is>
          <t>Приоритет, балл</t>
        </is>
      </c>
      <c r="J3" s="2" t="inlineStr">
        <is>
          <t>Приоритет</t>
        </is>
      </c>
      <c r="K3" s="2" t="inlineStr">
        <is>
          <t>Как закрыть разрыв</t>
        </is>
      </c>
      <c r="L3" s="2" t="inlineStr">
        <is>
          <t>Мониторинг</t>
        </is>
      </c>
      <c r="M3" s="2" t="inlineStr">
        <is>
          <t>Срок</t>
        </is>
      </c>
      <c r="N3" s="2" t="inlineStr">
        <is>
          <t>Статус</t>
        </is>
      </c>
    </row>
    <row r="4">
      <c r="A4" s="3" t="n">
        <v>1</v>
      </c>
      <c r="B4" s="3" t="inlineStr">
        <is>
          <t>152-ФЗ, ст. 18.1: меры по обеспечению выполнения обязанностей оператора персональных данных</t>
        </is>
      </c>
      <c r="C4" s="3" t="inlineStr">
        <is>
          <t>Персональные данные</t>
        </is>
      </c>
      <c r="D4" s="3" t="inlineStr">
        <is>
          <t>Обработка данных клиентов в CRM</t>
        </is>
      </c>
      <c r="E4" s="3" t="inlineStr">
        <is>
          <t>Директор по продажам</t>
        </is>
      </c>
      <c r="F4" s="3" t="n">
        <v>4</v>
      </c>
      <c r="G4" s="3" t="inlineStr">
        <is>
          <t>высокая</t>
        </is>
      </c>
      <c r="H4" s="3" t="inlineStr">
        <is>
          <t>есть на бумаге</t>
        </is>
      </c>
      <c r="I4" s="3">
        <f>IF(OR(F4="",G4="",H4=""),"",F4*IF(G4="высокая",3,IF(G4="средняя",2,1))*IF(H4="отсутствует",4,IF(H4="есть на бумаге",3,IF(H4="выполняется",2,1))))</f>
        <v/>
      </c>
      <c r="J4" s="3">
        <f>IF(I4="","",IF(I4&gt;=30,"высокий: в повестку года",IF(I4&gt;=12,"средний","низкий")))</f>
        <v/>
      </c>
      <c r="K4" s="3" t="inlineStr">
        <is>
          <t>Утвердить порядок доступа к CRM, проверить журнал доступа, провести инструктаж</t>
        </is>
      </c>
      <c r="L4" s="3" t="inlineStr">
        <is>
          <t>Число доступов без основания в журнале за квартал</t>
        </is>
      </c>
      <c r="M4" s="3" t="inlineStr">
        <is>
          <t>31.03.2027</t>
        </is>
      </c>
      <c r="N4" s="3" t="inlineStr">
        <is>
          <t>в работе</t>
        </is>
      </c>
    </row>
    <row r="5">
      <c r="A5" s="4" t="n">
        <v>2</v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>
        <f>IF(OR(F5="",G5="",H5=""),"",F5*IF(G5="высокая",3,IF(G5="средняя",2,1))*IF(H5="отсутствует",4,IF(H5="есть на бумаге",3,IF(H5="выполняется",2,1))))</f>
        <v/>
      </c>
      <c r="J5" s="4">
        <f>IF(I5="","",IF(I5&gt;=30,"высокий: в повестку года",IF(I5&gt;=12,"средний","низкий")))</f>
        <v/>
      </c>
      <c r="K5" s="4" t="inlineStr"/>
      <c r="L5" s="4" t="inlineStr"/>
      <c r="M5" s="4" t="inlineStr"/>
      <c r="N5" s="4" t="inlineStr"/>
    </row>
    <row r="6">
      <c r="A6" s="4" t="n">
        <v>3</v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>
        <f>IF(OR(F6="",G6="",H6=""),"",F6*IF(G6="высокая",3,IF(G6="средняя",2,1))*IF(H6="отсутствует",4,IF(H6="есть на бумаге",3,IF(H6="выполняется",2,1))))</f>
        <v/>
      </c>
      <c r="J6" s="4">
        <f>IF(I6="","",IF(I6&gt;=30,"высокий: в повестку года",IF(I6&gt;=12,"средний","низкий")))</f>
        <v/>
      </c>
      <c r="K6" s="4" t="inlineStr"/>
      <c r="L6" s="4" t="inlineStr"/>
      <c r="M6" s="4" t="inlineStr"/>
      <c r="N6" s="4" t="inlineStr"/>
    </row>
    <row r="7">
      <c r="A7" s="4" t="n">
        <v>4</v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>
        <f>IF(OR(F7="",G7="",H7=""),"",F7*IF(G7="высокая",3,IF(G7="средняя",2,1))*IF(H7="отсутствует",4,IF(H7="есть на бумаге",3,IF(H7="выполняется",2,1))))</f>
        <v/>
      </c>
      <c r="J7" s="4">
        <f>IF(I7="","",IF(I7&gt;=30,"высокий: в повестку года",IF(I7&gt;=12,"средний","низкий")))</f>
        <v/>
      </c>
      <c r="K7" s="4" t="inlineStr"/>
      <c r="L7" s="4" t="inlineStr"/>
      <c r="M7" s="4" t="inlineStr"/>
      <c r="N7" s="4" t="inlineStr"/>
    </row>
    <row r="8">
      <c r="A8" s="4" t="n">
        <v>5</v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>
        <f>IF(OR(F8="",G8="",H8=""),"",F8*IF(G8="высокая",3,IF(G8="средняя",2,1))*IF(H8="отсутствует",4,IF(H8="есть на бумаге",3,IF(H8="выполняется",2,1))))</f>
        <v/>
      </c>
      <c r="J8" s="4">
        <f>IF(I8="","",IF(I8&gt;=30,"высокий: в повестку года",IF(I8&gt;=12,"средний","низкий")))</f>
        <v/>
      </c>
      <c r="K8" s="4" t="inlineStr"/>
      <c r="L8" s="4" t="inlineStr"/>
      <c r="M8" s="4" t="inlineStr"/>
      <c r="N8" s="4" t="inlineStr"/>
    </row>
    <row r="9">
      <c r="A9" s="4" t="n">
        <v>6</v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>
        <f>IF(OR(F9="",G9="",H9=""),"",F9*IF(G9="высокая",3,IF(G9="средняя",2,1))*IF(H9="отсутствует",4,IF(H9="есть на бумаге",3,IF(H9="выполняется",2,1))))</f>
        <v/>
      </c>
      <c r="J9" s="4">
        <f>IF(I9="","",IF(I9&gt;=30,"высокий: в повестку года",IF(I9&gt;=12,"средний","низкий")))</f>
        <v/>
      </c>
      <c r="K9" s="4" t="inlineStr"/>
      <c r="L9" s="4" t="inlineStr"/>
      <c r="M9" s="4" t="inlineStr"/>
      <c r="N9" s="4" t="inlineStr"/>
    </row>
    <row r="10">
      <c r="A10" s="4" t="n">
        <v>7</v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>
        <f>IF(OR(F10="",G10="",H10=""),"",F10*IF(G10="высокая",3,IF(G10="средняя",2,1))*IF(H10="отсутствует",4,IF(H10="есть на бумаге",3,IF(H10="выполняется",2,1))))</f>
        <v/>
      </c>
      <c r="J10" s="4">
        <f>IF(I10="","",IF(I10&gt;=30,"высокий: в повестку года",IF(I10&gt;=12,"средний","низкий")))</f>
        <v/>
      </c>
      <c r="K10" s="4" t="inlineStr"/>
      <c r="L10" s="4" t="inlineStr"/>
      <c r="M10" s="4" t="inlineStr"/>
      <c r="N10" s="4" t="inlineStr"/>
    </row>
    <row r="11">
      <c r="A11" s="4" t="n">
        <v>8</v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>
        <f>IF(OR(F11="",G11="",H11=""),"",F11*IF(G11="высокая",3,IF(G11="средняя",2,1))*IF(H11="отсутствует",4,IF(H11="есть на бумаге",3,IF(H11="выполняется",2,1))))</f>
        <v/>
      </c>
      <c r="J11" s="4">
        <f>IF(I11="","",IF(I11&gt;=30,"высокий: в повестку года",IF(I11&gt;=12,"средний","низкий")))</f>
        <v/>
      </c>
      <c r="K11" s="4" t="inlineStr"/>
      <c r="L11" s="4" t="inlineStr"/>
      <c r="M11" s="4" t="inlineStr"/>
      <c r="N11" s="4" t="inlineStr"/>
    </row>
    <row r="12">
      <c r="A12" s="4" t="n">
        <v>9</v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>
        <f>IF(OR(F12="",G12="",H12=""),"",F12*IF(G12="высокая",3,IF(G12="средняя",2,1))*IF(H12="отсутствует",4,IF(H12="есть на бумаге",3,IF(H12="выполняется",2,1))))</f>
        <v/>
      </c>
      <c r="J12" s="4">
        <f>IF(I12="","",IF(I12&gt;=30,"высокий: в повестку года",IF(I12&gt;=12,"средний","низкий")))</f>
        <v/>
      </c>
      <c r="K12" s="4" t="inlineStr"/>
      <c r="L12" s="4" t="inlineStr"/>
      <c r="M12" s="4" t="inlineStr"/>
      <c r="N12" s="4" t="inlineStr"/>
    </row>
    <row r="13">
      <c r="A13" s="4" t="n">
        <v>10</v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>
        <f>IF(OR(F13="",G13="",H13=""),"",F13*IF(G13="высокая",3,IF(G13="средняя",2,1))*IF(H13="отсутствует",4,IF(H13="есть на бумаге",3,IF(H13="выполняется",2,1))))</f>
        <v/>
      </c>
      <c r="J13" s="4">
        <f>IF(I13="","",IF(I13&gt;=30,"высокий: в повестку года",IF(I13&gt;=12,"средний","низкий")))</f>
        <v/>
      </c>
      <c r="K13" s="4" t="inlineStr"/>
      <c r="L13" s="4" t="inlineStr"/>
      <c r="M13" s="4" t="inlineStr"/>
      <c r="N13" s="4" t="inlineStr"/>
    </row>
    <row r="14">
      <c r="A14" s="4" t="n">
        <v>11</v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>
        <f>IF(OR(F14="",G14="",H14=""),"",F14*IF(G14="высокая",3,IF(G14="средняя",2,1))*IF(H14="отсутствует",4,IF(H14="есть на бумаге",3,IF(H14="выполняется",2,1))))</f>
        <v/>
      </c>
      <c r="J14" s="4">
        <f>IF(I14="","",IF(I14&gt;=30,"высокий: в повестку года",IF(I14&gt;=12,"средний","низкий")))</f>
        <v/>
      </c>
      <c r="K14" s="4" t="inlineStr"/>
      <c r="L14" s="4" t="inlineStr"/>
      <c r="M14" s="4" t="inlineStr"/>
      <c r="N14" s="4" t="inlineStr"/>
    </row>
    <row r="15">
      <c r="A15" s="4" t="n">
        <v>12</v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>
        <f>IF(OR(F15="",G15="",H15=""),"",F15*IF(G15="высокая",3,IF(G15="средняя",2,1))*IF(H15="отсутствует",4,IF(H15="есть на бумаге",3,IF(H15="выполняется",2,1))))</f>
        <v/>
      </c>
      <c r="J15" s="4">
        <f>IF(I15="","",IF(I15&gt;=30,"высокий: в повестку года",IF(I15&gt;=12,"средний","низкий")))</f>
        <v/>
      </c>
      <c r="K15" s="4" t="inlineStr"/>
      <c r="L15" s="4" t="inlineStr"/>
      <c r="M15" s="4" t="inlineStr"/>
      <c r="N15" s="4" t="inlineStr"/>
    </row>
    <row r="16">
      <c r="A16" s="4" t="n">
        <v>13</v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>
        <f>IF(OR(F16="",G16="",H16=""),"",F16*IF(G16="высокая",3,IF(G16="средняя",2,1))*IF(H16="отсутствует",4,IF(H16="есть на бумаге",3,IF(H16="выполняется",2,1))))</f>
        <v/>
      </c>
      <c r="J16" s="4">
        <f>IF(I16="","",IF(I16&gt;=30,"высокий: в повестку года",IF(I16&gt;=12,"средний","низкий")))</f>
        <v/>
      </c>
      <c r="K16" s="4" t="inlineStr"/>
      <c r="L16" s="4" t="inlineStr"/>
      <c r="M16" s="4" t="inlineStr"/>
      <c r="N16" s="4" t="inlineStr"/>
    </row>
    <row r="17">
      <c r="A17" s="4" t="n">
        <v>14</v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>
        <f>IF(OR(F17="",G17="",H17=""),"",F17*IF(G17="высокая",3,IF(G17="средняя",2,1))*IF(H17="отсутствует",4,IF(H17="есть на бумаге",3,IF(H17="выполняется",2,1))))</f>
        <v/>
      </c>
      <c r="J17" s="4">
        <f>IF(I17="","",IF(I17&gt;=30,"высокий: в повестку года",IF(I17&gt;=12,"средний","низкий")))</f>
        <v/>
      </c>
      <c r="K17" s="4" t="inlineStr"/>
      <c r="L17" s="4" t="inlineStr"/>
      <c r="M17" s="4" t="inlineStr"/>
      <c r="N17" s="4" t="inlineStr"/>
    </row>
    <row r="18">
      <c r="A18" s="4" t="n">
        <v>15</v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>
        <f>IF(OR(F18="",G18="",H18=""),"",F18*IF(G18="высокая",3,IF(G18="средняя",2,1))*IF(H18="отсутствует",4,IF(H18="есть на бумаге",3,IF(H18="выполняется",2,1))))</f>
        <v/>
      </c>
      <c r="J18" s="4">
        <f>IF(I18="","",IF(I18&gt;=30,"высокий: в повестку года",IF(I18&gt;=12,"средний","низкий")))</f>
        <v/>
      </c>
      <c r="K18" s="4" t="inlineStr"/>
      <c r="L18" s="4" t="inlineStr"/>
      <c r="M18" s="4" t="inlineStr"/>
      <c r="N18" s="4" t="inlineStr"/>
    </row>
    <row r="19">
      <c r="A19" s="4" t="n">
        <v>16</v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>
        <f>IF(OR(F19="",G19="",H19=""),"",F19*IF(G19="высокая",3,IF(G19="средняя",2,1))*IF(H19="отсутствует",4,IF(H19="есть на бумаге",3,IF(H19="выполняется",2,1))))</f>
        <v/>
      </c>
      <c r="J19" s="4">
        <f>IF(I19="","",IF(I19&gt;=30,"высокий: в повестку года",IF(I19&gt;=12,"средний","низкий")))</f>
        <v/>
      </c>
      <c r="K19" s="4" t="inlineStr"/>
      <c r="L19" s="4" t="inlineStr"/>
      <c r="M19" s="4" t="inlineStr"/>
      <c r="N19" s="4" t="inlineStr"/>
    </row>
    <row r="20">
      <c r="A20" s="4" t="n">
        <v>17</v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>
        <f>IF(OR(F20="",G20="",H20=""),"",F20*IF(G20="высокая",3,IF(G20="средняя",2,1))*IF(H20="отсутствует",4,IF(H20="есть на бумаге",3,IF(H20="выполняется",2,1))))</f>
        <v/>
      </c>
      <c r="J20" s="4">
        <f>IF(I20="","",IF(I20&gt;=30,"высокий: в повестку года",IF(I20&gt;=12,"средний","низкий")))</f>
        <v/>
      </c>
      <c r="K20" s="4" t="inlineStr"/>
      <c r="L20" s="4" t="inlineStr"/>
      <c r="M20" s="4" t="inlineStr"/>
      <c r="N20" s="4" t="inlineStr"/>
    </row>
    <row r="21">
      <c r="A21" s="4" t="n">
        <v>18</v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>
        <f>IF(OR(F21="",G21="",H21=""),"",F21*IF(G21="высокая",3,IF(G21="средняя",2,1))*IF(H21="отсутствует",4,IF(H21="есть на бумаге",3,IF(H21="выполняется",2,1))))</f>
        <v/>
      </c>
      <c r="J21" s="4">
        <f>IF(I21="","",IF(I21&gt;=30,"высокий: в повестку года",IF(I21&gt;=12,"средний","низкий")))</f>
        <v/>
      </c>
      <c r="K21" s="4" t="inlineStr"/>
      <c r="L21" s="4" t="inlineStr"/>
      <c r="M21" s="4" t="inlineStr"/>
      <c r="N21" s="4" t="inlineStr"/>
    </row>
    <row r="22">
      <c r="A22" s="4" t="n">
        <v>19</v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>
        <f>IF(OR(F22="",G22="",H22=""),"",F22*IF(G22="высокая",3,IF(G22="средняя",2,1))*IF(H22="отсутствует",4,IF(H22="есть на бумаге",3,IF(H22="выполняется",2,1))))</f>
        <v/>
      </c>
      <c r="J22" s="4">
        <f>IF(I22="","",IF(I22&gt;=30,"высокий: в повестку года",IF(I22&gt;=12,"средний","низкий")))</f>
        <v/>
      </c>
      <c r="K22" s="4" t="inlineStr"/>
      <c r="L22" s="4" t="inlineStr"/>
      <c r="M22" s="4" t="inlineStr"/>
      <c r="N22" s="4" t="inlineStr"/>
    </row>
    <row r="23">
      <c r="A23" s="4" t="n">
        <v>20</v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>
        <f>IF(OR(F23="",G23="",H23=""),"",F23*IF(G23="высокая",3,IF(G23="средняя",2,1))*IF(H23="отсутствует",4,IF(H23="есть на бумаге",3,IF(H23="выполняется",2,1))))</f>
        <v/>
      </c>
      <c r="J23" s="4">
        <f>IF(I23="","",IF(I23&gt;=30,"высокий: в повестку года",IF(I23&gt;=12,"средний","низкий")))</f>
        <v/>
      </c>
      <c r="K23" s="4" t="inlineStr"/>
      <c r="L23" s="4" t="inlineStr"/>
      <c r="M23" s="4" t="inlineStr"/>
      <c r="N23" s="4" t="inlineStr"/>
    </row>
    <row r="24">
      <c r="A24" s="4" t="n">
        <v>21</v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>
        <f>IF(OR(F24="",G24="",H24=""),"",F24*IF(G24="высокая",3,IF(G24="средняя",2,1))*IF(H24="отсутствует",4,IF(H24="есть на бумаге",3,IF(H24="выполняется",2,1))))</f>
        <v/>
      </c>
      <c r="J24" s="4">
        <f>IF(I24="","",IF(I24&gt;=30,"высокий: в повестку года",IF(I24&gt;=12,"средний","низкий")))</f>
        <v/>
      </c>
      <c r="K24" s="4" t="inlineStr"/>
      <c r="L24" s="4" t="inlineStr"/>
      <c r="M24" s="4" t="inlineStr"/>
      <c r="N24" s="4" t="inlineStr"/>
    </row>
    <row r="25">
      <c r="A25" s="4" t="n">
        <v>22</v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>
        <f>IF(OR(F25="",G25="",H25=""),"",F25*IF(G25="высокая",3,IF(G25="средняя",2,1))*IF(H25="отсутствует",4,IF(H25="есть на бумаге",3,IF(H25="выполняется",2,1))))</f>
        <v/>
      </c>
      <c r="J25" s="4">
        <f>IF(I25="","",IF(I25&gt;=30,"высокий: в повестку года",IF(I25&gt;=12,"средний","низкий")))</f>
        <v/>
      </c>
      <c r="K25" s="4" t="inlineStr"/>
      <c r="L25" s="4" t="inlineStr"/>
      <c r="M25" s="4" t="inlineStr"/>
      <c r="N25" s="4" t="inlineStr"/>
    </row>
    <row r="26">
      <c r="A26" s="4" t="n">
        <v>23</v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>
        <f>IF(OR(F26="",G26="",H26=""),"",F26*IF(G26="высокая",3,IF(G26="средняя",2,1))*IF(H26="отсутствует",4,IF(H26="есть на бумаге",3,IF(H26="выполняется",2,1))))</f>
        <v/>
      </c>
      <c r="J26" s="4">
        <f>IF(I26="","",IF(I26&gt;=30,"высокий: в повестку года",IF(I26&gt;=12,"средний","низкий")))</f>
        <v/>
      </c>
      <c r="K26" s="4" t="inlineStr"/>
      <c r="L26" s="4" t="inlineStr"/>
      <c r="M26" s="4" t="inlineStr"/>
      <c r="N26" s="4" t="inlineStr"/>
    </row>
    <row r="27">
      <c r="A27" s="4" t="n">
        <v>24</v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>
        <f>IF(OR(F27="",G27="",H27=""),"",F27*IF(G27="высокая",3,IF(G27="средняя",2,1))*IF(H27="отсутствует",4,IF(H27="есть на бумаге",3,IF(H27="выполняется",2,1))))</f>
        <v/>
      </c>
      <c r="J27" s="4">
        <f>IF(I27="","",IF(I27&gt;=30,"высокий: в повестку года",IF(I27&gt;=12,"средний","низкий")))</f>
        <v/>
      </c>
      <c r="K27" s="4" t="inlineStr"/>
      <c r="L27" s="4" t="inlineStr"/>
      <c r="M27" s="4" t="inlineStr"/>
      <c r="N27" s="4" t="inlineStr"/>
    </row>
    <row r="28">
      <c r="A28" s="4" t="n">
        <v>25</v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>
        <f>IF(OR(F28="",G28="",H28=""),"",F28*IF(G28="высокая",3,IF(G28="средняя",2,1))*IF(H28="отсутствует",4,IF(H28="есть на бумаге",3,IF(H28="выполняется",2,1))))</f>
        <v/>
      </c>
      <c r="J28" s="4">
        <f>IF(I28="","",IF(I28&gt;=30,"высокий: в повестку года",IF(I28&gt;=12,"средний","низкий")))</f>
        <v/>
      </c>
      <c r="K28" s="4" t="inlineStr"/>
      <c r="L28" s="4" t="inlineStr"/>
      <c r="M28" s="4" t="inlineStr"/>
      <c r="N28" s="4" t="inlineStr"/>
    </row>
    <row r="29">
      <c r="A29" s="4" t="n">
        <v>26</v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>
        <f>IF(OR(F29="",G29="",H29=""),"",F29*IF(G29="высокая",3,IF(G29="средняя",2,1))*IF(H29="отсутствует",4,IF(H29="есть на бумаге",3,IF(H29="выполняется",2,1))))</f>
        <v/>
      </c>
      <c r="J29" s="4">
        <f>IF(I29="","",IF(I29&gt;=30,"высокий: в повестку года",IF(I29&gt;=12,"средний","низкий")))</f>
        <v/>
      </c>
      <c r="K29" s="4" t="inlineStr"/>
      <c r="L29" s="4" t="inlineStr"/>
      <c r="M29" s="4" t="inlineStr"/>
      <c r="N29" s="4" t="inlineStr"/>
    </row>
    <row r="30">
      <c r="A30" s="4" t="n">
        <v>27</v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>
        <f>IF(OR(F30="",G30="",H30=""),"",F30*IF(G30="высокая",3,IF(G30="средняя",2,1))*IF(H30="отсутствует",4,IF(H30="есть на бумаге",3,IF(H30="выполняется",2,1))))</f>
        <v/>
      </c>
      <c r="J30" s="4">
        <f>IF(I30="","",IF(I30&gt;=30,"высокий: в повестку года",IF(I30&gt;=12,"средний","низкий")))</f>
        <v/>
      </c>
      <c r="K30" s="4" t="inlineStr"/>
      <c r="L30" s="4" t="inlineStr"/>
      <c r="M30" s="4" t="inlineStr"/>
      <c r="N30" s="4" t="inlineStr"/>
    </row>
    <row r="31">
      <c r="A31" s="4" t="n">
        <v>28</v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>
        <f>IF(OR(F31="",G31="",H31=""),"",F31*IF(G31="высокая",3,IF(G31="средняя",2,1))*IF(H31="отсутствует",4,IF(H31="есть на бумаге",3,IF(H31="выполняется",2,1))))</f>
        <v/>
      </c>
      <c r="J31" s="4">
        <f>IF(I31="","",IF(I31&gt;=30,"высокий: в повестку года",IF(I31&gt;=12,"средний","низкий")))</f>
        <v/>
      </c>
      <c r="K31" s="4" t="inlineStr"/>
      <c r="L31" s="4" t="inlineStr"/>
      <c r="M31" s="4" t="inlineStr"/>
      <c r="N31" s="4" t="inlineStr"/>
    </row>
    <row r="32">
      <c r="A32" s="4" t="n">
        <v>29</v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>
        <f>IF(OR(F32="",G32="",H32=""),"",F32*IF(G32="высокая",3,IF(G32="средняя",2,1))*IF(H32="отсутствует",4,IF(H32="есть на бумаге",3,IF(H32="выполняется",2,1))))</f>
        <v/>
      </c>
      <c r="J32" s="4">
        <f>IF(I32="","",IF(I32&gt;=30,"высокий: в повестку года",IF(I32&gt;=12,"средний","низкий")))</f>
        <v/>
      </c>
      <c r="K32" s="4" t="inlineStr"/>
      <c r="L32" s="4" t="inlineStr"/>
      <c r="M32" s="4" t="inlineStr"/>
      <c r="N32" s="4" t="inlineStr"/>
    </row>
    <row r="33">
      <c r="A33" s="4" t="n">
        <v>30</v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>
        <f>IF(OR(F33="",G33="",H33=""),"",F33*IF(G33="высокая",3,IF(G33="средняя",2,1))*IF(H33="отсутствует",4,IF(H33="есть на бумаге",3,IF(H33="выполняется",2,1))))</f>
        <v/>
      </c>
      <c r="J33" s="4">
        <f>IF(I33="","",IF(I33&gt;=30,"высокий: в повестку года",IF(I33&gt;=12,"средний","низкий")))</f>
        <v/>
      </c>
      <c r="K33" s="4" t="inlineStr"/>
      <c r="L33" s="4" t="inlineStr"/>
      <c r="M33" s="4" t="inlineStr"/>
      <c r="N33" s="4" t="inlineStr"/>
    </row>
    <row r="34">
      <c r="A34" s="4" t="n">
        <v>31</v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>
        <f>IF(OR(F34="",G34="",H34=""),"",F34*IF(G34="высокая",3,IF(G34="средняя",2,1))*IF(H34="отсутствует",4,IF(H34="есть на бумаге",3,IF(H34="выполняется",2,1))))</f>
        <v/>
      </c>
      <c r="J34" s="4">
        <f>IF(I34="","",IF(I34&gt;=30,"высокий: в повестку года",IF(I34&gt;=12,"средний","низкий")))</f>
        <v/>
      </c>
      <c r="K34" s="4" t="inlineStr"/>
      <c r="L34" s="4" t="inlineStr"/>
      <c r="M34" s="4" t="inlineStr"/>
      <c r="N34" s="4" t="inlineStr"/>
    </row>
    <row r="35">
      <c r="A35" s="4" t="n">
        <v>32</v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>
        <f>IF(OR(F35="",G35="",H35=""),"",F35*IF(G35="высокая",3,IF(G35="средняя",2,1))*IF(H35="отсутствует",4,IF(H35="есть на бумаге",3,IF(H35="выполняется",2,1))))</f>
        <v/>
      </c>
      <c r="J35" s="4">
        <f>IF(I35="","",IF(I35&gt;=30,"высокий: в повестку года",IF(I35&gt;=12,"средний","низкий")))</f>
        <v/>
      </c>
      <c r="K35" s="4" t="inlineStr"/>
      <c r="L35" s="4" t="inlineStr"/>
      <c r="M35" s="4" t="inlineStr"/>
      <c r="N35" s="4" t="inlineStr"/>
    </row>
    <row r="36">
      <c r="A36" s="4" t="n">
        <v>33</v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>
        <f>IF(OR(F36="",G36="",H36=""),"",F36*IF(G36="высокая",3,IF(G36="средняя",2,1))*IF(H36="отсутствует",4,IF(H36="есть на бумаге",3,IF(H36="выполняется",2,1))))</f>
        <v/>
      </c>
      <c r="J36" s="4">
        <f>IF(I36="","",IF(I36&gt;=30,"высокий: в повестку года",IF(I36&gt;=12,"средний","низкий")))</f>
        <v/>
      </c>
      <c r="K36" s="4" t="inlineStr"/>
      <c r="L36" s="4" t="inlineStr"/>
      <c r="M36" s="4" t="inlineStr"/>
      <c r="N36" s="4" t="inlineStr"/>
    </row>
    <row r="37">
      <c r="A37" s="4" t="n">
        <v>34</v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>
        <f>IF(OR(F37="",G37="",H37=""),"",F37*IF(G37="высокая",3,IF(G37="средняя",2,1))*IF(H37="отсутствует",4,IF(H37="есть на бумаге",3,IF(H37="выполняется",2,1))))</f>
        <v/>
      </c>
      <c r="J37" s="4">
        <f>IF(I37="","",IF(I37&gt;=30,"высокий: в повестку года",IF(I37&gt;=12,"средний","низкий")))</f>
        <v/>
      </c>
      <c r="K37" s="4" t="inlineStr"/>
      <c r="L37" s="4" t="inlineStr"/>
      <c r="M37" s="4" t="inlineStr"/>
      <c r="N37" s="4" t="inlineStr"/>
    </row>
    <row r="38">
      <c r="A38" s="4" t="n">
        <v>35</v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>
        <f>IF(OR(F38="",G38="",H38=""),"",F38*IF(G38="высокая",3,IF(G38="средняя",2,1))*IF(H38="отсутствует",4,IF(H38="есть на бумаге",3,IF(H38="выполняется",2,1))))</f>
        <v/>
      </c>
      <c r="J38" s="4">
        <f>IF(I38="","",IF(I38&gt;=30,"высокий: в повестку года",IF(I38&gt;=12,"средний","низкий")))</f>
        <v/>
      </c>
      <c r="K38" s="4" t="inlineStr"/>
      <c r="L38" s="4" t="inlineStr"/>
      <c r="M38" s="4" t="inlineStr"/>
      <c r="N38" s="4" t="inlineStr"/>
    </row>
    <row r="39">
      <c r="A39" s="4" t="n">
        <v>36</v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>
        <f>IF(OR(F39="",G39="",H39=""),"",F39*IF(G39="высокая",3,IF(G39="средняя",2,1))*IF(H39="отсутствует",4,IF(H39="есть на бумаге",3,IF(H39="выполняется",2,1))))</f>
        <v/>
      </c>
      <c r="J39" s="4">
        <f>IF(I39="","",IF(I39&gt;=30,"высокий: в повестку года",IF(I39&gt;=12,"средний","низкий")))</f>
        <v/>
      </c>
      <c r="K39" s="4" t="inlineStr"/>
      <c r="L39" s="4" t="inlineStr"/>
      <c r="M39" s="4" t="inlineStr"/>
      <c r="N39" s="4" t="inlineStr"/>
    </row>
    <row r="40">
      <c r="A40" s="4" t="n">
        <v>37</v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>
        <f>IF(OR(F40="",G40="",H40=""),"",F40*IF(G40="высокая",3,IF(G40="средняя",2,1))*IF(H40="отсутствует",4,IF(H40="есть на бумаге",3,IF(H40="выполняется",2,1))))</f>
        <v/>
      </c>
      <c r="J40" s="4">
        <f>IF(I40="","",IF(I40&gt;=30,"высокий: в повестку года",IF(I40&gt;=12,"средний","низкий")))</f>
        <v/>
      </c>
      <c r="K40" s="4" t="inlineStr"/>
      <c r="L40" s="4" t="inlineStr"/>
      <c r="M40" s="4" t="inlineStr"/>
      <c r="N40" s="4" t="inlineStr"/>
    </row>
    <row r="41">
      <c r="A41" s="4" t="n">
        <v>38</v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>
        <f>IF(OR(F41="",G41="",H41=""),"",F41*IF(G41="высокая",3,IF(G41="средняя",2,1))*IF(H41="отсутствует",4,IF(H41="есть на бумаге",3,IF(H41="выполняется",2,1))))</f>
        <v/>
      </c>
      <c r="J41" s="4">
        <f>IF(I41="","",IF(I41&gt;=30,"высокий: в повестку года",IF(I41&gt;=12,"средний","низкий")))</f>
        <v/>
      </c>
      <c r="K41" s="4" t="inlineStr"/>
      <c r="L41" s="4" t="inlineStr"/>
      <c r="M41" s="4" t="inlineStr"/>
      <c r="N41" s="4" t="inlineStr"/>
    </row>
    <row r="42">
      <c r="A42" s="4" t="n">
        <v>39</v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>
        <f>IF(OR(F42="",G42="",H42=""),"",F42*IF(G42="высокая",3,IF(G42="средняя",2,1))*IF(H42="отсутствует",4,IF(H42="есть на бумаге",3,IF(H42="выполняется",2,1))))</f>
        <v/>
      </c>
      <c r="J42" s="4">
        <f>IF(I42="","",IF(I42&gt;=30,"высокий: в повестку года",IF(I42&gt;=12,"средний","низкий")))</f>
        <v/>
      </c>
      <c r="K42" s="4" t="inlineStr"/>
      <c r="L42" s="4" t="inlineStr"/>
      <c r="M42" s="4" t="inlineStr"/>
      <c r="N42" s="4" t="inlineStr"/>
    </row>
    <row r="43">
      <c r="A43" s="4" t="n">
        <v>40</v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>
        <f>IF(OR(F43="",G43="",H43=""),"",F43*IF(G43="высокая",3,IF(G43="средняя",2,1))*IF(H43="отсутствует",4,IF(H43="есть на бумаге",3,IF(H43="выполняется",2,1))))</f>
        <v/>
      </c>
      <c r="J43" s="4">
        <f>IF(I43="","",IF(I43&gt;=30,"высокий: в повестку года",IF(I43&gt;=12,"средний","низкий")))</f>
        <v/>
      </c>
      <c r="K43" s="4" t="inlineStr"/>
      <c r="L43" s="4" t="inlineStr"/>
      <c r="M43" s="4" t="inlineStr"/>
      <c r="N43" s="4" t="inlineStr"/>
    </row>
    <row r="44">
      <c r="A44" s="4" t="n">
        <v>41</v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>
        <f>IF(OR(F44="",G44="",H44=""),"",F44*IF(G44="высокая",3,IF(G44="средняя",2,1))*IF(H44="отсутствует",4,IF(H44="есть на бумаге",3,IF(H44="выполняется",2,1))))</f>
        <v/>
      </c>
      <c r="J44" s="4">
        <f>IF(I44="","",IF(I44&gt;=30,"высокий: в повестку года",IF(I44&gt;=12,"средний","низкий")))</f>
        <v/>
      </c>
      <c r="K44" s="4" t="inlineStr"/>
      <c r="L44" s="4" t="inlineStr"/>
      <c r="M44" s="4" t="inlineStr"/>
      <c r="N44" s="4" t="inlineStr"/>
    </row>
    <row r="45">
      <c r="A45" s="4" t="n">
        <v>42</v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>
        <f>IF(OR(F45="",G45="",H45=""),"",F45*IF(G45="высокая",3,IF(G45="средняя",2,1))*IF(H45="отсутствует",4,IF(H45="есть на бумаге",3,IF(H45="выполняется",2,1))))</f>
        <v/>
      </c>
      <c r="J45" s="4">
        <f>IF(I45="","",IF(I45&gt;=30,"высокий: в повестку года",IF(I45&gt;=12,"средний","низкий")))</f>
        <v/>
      </c>
      <c r="K45" s="4" t="inlineStr"/>
      <c r="L45" s="4" t="inlineStr"/>
      <c r="M45" s="4" t="inlineStr"/>
      <c r="N45" s="4" t="inlineStr"/>
    </row>
    <row r="46">
      <c r="A46" s="4" t="n">
        <v>43</v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>
        <f>IF(OR(F46="",G46="",H46=""),"",F46*IF(G46="высокая",3,IF(G46="средняя",2,1))*IF(H46="отсутствует",4,IF(H46="есть на бумаге",3,IF(H46="выполняется",2,1))))</f>
        <v/>
      </c>
      <c r="J46" s="4">
        <f>IF(I46="","",IF(I46&gt;=30,"высокий: в повестку года",IF(I46&gt;=12,"средний","низкий")))</f>
        <v/>
      </c>
      <c r="K46" s="4" t="inlineStr"/>
      <c r="L46" s="4" t="inlineStr"/>
      <c r="M46" s="4" t="inlineStr"/>
      <c r="N46" s="4" t="inlineStr"/>
    </row>
    <row r="47">
      <c r="A47" s="4" t="n">
        <v>44</v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>
        <f>IF(OR(F47="",G47="",H47=""),"",F47*IF(G47="высокая",3,IF(G47="средняя",2,1))*IF(H47="отсутствует",4,IF(H47="есть на бумаге",3,IF(H47="выполняется",2,1))))</f>
        <v/>
      </c>
      <c r="J47" s="4">
        <f>IF(I47="","",IF(I47&gt;=30,"высокий: в повестку года",IF(I47&gt;=12,"средний","низкий")))</f>
        <v/>
      </c>
      <c r="K47" s="4" t="inlineStr"/>
      <c r="L47" s="4" t="inlineStr"/>
      <c r="M47" s="4" t="inlineStr"/>
      <c r="N47" s="4" t="inlineStr"/>
    </row>
    <row r="48">
      <c r="A48" s="4" t="n">
        <v>45</v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>
        <f>IF(OR(F48="",G48="",H48=""),"",F48*IF(G48="высокая",3,IF(G48="средняя",2,1))*IF(H48="отсутствует",4,IF(H48="есть на бумаге",3,IF(H48="выполняется",2,1))))</f>
        <v/>
      </c>
      <c r="J48" s="4">
        <f>IF(I48="","",IF(I48&gt;=30,"высокий: в повестку года",IF(I48&gt;=12,"средний","низкий")))</f>
        <v/>
      </c>
      <c r="K48" s="4" t="inlineStr"/>
      <c r="L48" s="4" t="inlineStr"/>
      <c r="M48" s="4" t="inlineStr"/>
      <c r="N48" s="4" t="inlineStr"/>
    </row>
    <row r="49">
      <c r="A49" s="4" t="n">
        <v>46</v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>
        <f>IF(OR(F49="",G49="",H49=""),"",F49*IF(G49="высокая",3,IF(G49="средняя",2,1))*IF(H49="отсутствует",4,IF(H49="есть на бумаге",3,IF(H49="выполняется",2,1))))</f>
        <v/>
      </c>
      <c r="J49" s="4">
        <f>IF(I49="","",IF(I49&gt;=30,"высокий: в повестку года",IF(I49&gt;=12,"средний","низкий")))</f>
        <v/>
      </c>
      <c r="K49" s="4" t="inlineStr"/>
      <c r="L49" s="4" t="inlineStr"/>
      <c r="M49" s="4" t="inlineStr"/>
      <c r="N49" s="4" t="inlineStr"/>
    </row>
    <row r="50">
      <c r="A50" s="4" t="n">
        <v>47</v>
      </c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>
        <f>IF(OR(F50="",G50="",H50=""),"",F50*IF(G50="высокая",3,IF(G50="средняя",2,1))*IF(H50="отсутствует",4,IF(H50="есть на бумаге",3,IF(H50="выполняется",2,1))))</f>
        <v/>
      </c>
      <c r="J50" s="4">
        <f>IF(I50="","",IF(I50&gt;=30,"высокий: в повестку года",IF(I50&gt;=12,"средний","низкий")))</f>
        <v/>
      </c>
      <c r="K50" s="4" t="inlineStr"/>
      <c r="L50" s="4" t="inlineStr"/>
      <c r="M50" s="4" t="inlineStr"/>
      <c r="N50" s="4" t="inlineStr"/>
    </row>
    <row r="51">
      <c r="A51" s="4" t="n">
        <v>48</v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>
        <f>IF(OR(F51="",G51="",H51=""),"",F51*IF(G51="высокая",3,IF(G51="средняя",2,1))*IF(H51="отсутствует",4,IF(H51="есть на бумаге",3,IF(H51="выполняется",2,1))))</f>
        <v/>
      </c>
      <c r="J51" s="4">
        <f>IF(I51="","",IF(I51&gt;=30,"высокий: в повестку года",IF(I51&gt;=12,"средний","низкий")))</f>
        <v/>
      </c>
      <c r="K51" s="4" t="inlineStr"/>
      <c r="L51" s="4" t="inlineStr"/>
      <c r="M51" s="4" t="inlineStr"/>
      <c r="N51" s="4" t="inlineStr"/>
    </row>
    <row r="52">
      <c r="A52" s="4" t="n">
        <v>49</v>
      </c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>
        <f>IF(OR(F52="",G52="",H52=""),"",F52*IF(G52="высокая",3,IF(G52="средняя",2,1))*IF(H52="отсутствует",4,IF(H52="есть на бумаге",3,IF(H52="выполняется",2,1))))</f>
        <v/>
      </c>
      <c r="J52" s="4">
        <f>IF(I52="","",IF(I52&gt;=30,"высокий: в повестку года",IF(I52&gt;=12,"средний","низкий")))</f>
        <v/>
      </c>
      <c r="K52" s="4" t="inlineStr"/>
      <c r="L52" s="4" t="inlineStr"/>
      <c r="M52" s="4" t="inlineStr"/>
      <c r="N52" s="4" t="inlineStr"/>
    </row>
    <row r="53">
      <c r="A53" s="4" t="n">
        <v>50</v>
      </c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>
        <f>IF(OR(F53="",G53="",H53=""),"",F53*IF(G53="высокая",3,IF(G53="средняя",2,1))*IF(H53="отсутствует",4,IF(H53="есть на бумаге",3,IF(H53="выполняется",2,1))))</f>
        <v/>
      </c>
      <c r="J53" s="4">
        <f>IF(I53="","",IF(I53&gt;=30,"высокий: в повестку года",IF(I53&gt;=12,"средний","низкий")))</f>
        <v/>
      </c>
      <c r="K53" s="4" t="inlineStr"/>
      <c r="L53" s="4" t="inlineStr"/>
      <c r="M53" s="4" t="inlineStr"/>
      <c r="N53" s="4" t="inlineStr"/>
    </row>
    <row r="54">
      <c r="A54" s="4" t="n">
        <v>51</v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>
        <f>IF(OR(F54="",G54="",H54=""),"",F54*IF(G54="высокая",3,IF(G54="средняя",2,1))*IF(H54="отсутствует",4,IF(H54="есть на бумаге",3,IF(H54="выполняется",2,1))))</f>
        <v/>
      </c>
      <c r="J54" s="4">
        <f>IF(I54="","",IF(I54&gt;=30,"высокий: в повестку года",IF(I54&gt;=12,"средний","низкий")))</f>
        <v/>
      </c>
      <c r="K54" s="4" t="inlineStr"/>
      <c r="L54" s="4" t="inlineStr"/>
      <c r="M54" s="4" t="inlineStr"/>
      <c r="N54" s="4" t="inlineStr"/>
    </row>
    <row r="55">
      <c r="A55" s="4" t="n">
        <v>52</v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>
        <f>IF(OR(F55="",G55="",H55=""),"",F55*IF(G55="высокая",3,IF(G55="средняя",2,1))*IF(H55="отсутствует",4,IF(H55="есть на бумаге",3,IF(H55="выполняется",2,1))))</f>
        <v/>
      </c>
      <c r="J55" s="4">
        <f>IF(I55="","",IF(I55&gt;=30,"высокий: в повестку года",IF(I55&gt;=12,"средний","низкий")))</f>
        <v/>
      </c>
      <c r="K55" s="4" t="inlineStr"/>
      <c r="L55" s="4" t="inlineStr"/>
      <c r="M55" s="4" t="inlineStr"/>
      <c r="N55" s="4" t="inlineStr"/>
    </row>
    <row r="56">
      <c r="A56" s="4" t="n">
        <v>53</v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>
        <f>IF(OR(F56="",G56="",H56=""),"",F56*IF(G56="высокая",3,IF(G56="средняя",2,1))*IF(H56="отсутствует",4,IF(H56="есть на бумаге",3,IF(H56="выполняется",2,1))))</f>
        <v/>
      </c>
      <c r="J56" s="4">
        <f>IF(I56="","",IF(I56&gt;=30,"высокий: в повестку года",IF(I56&gt;=12,"средний","низкий")))</f>
        <v/>
      </c>
      <c r="K56" s="4" t="inlineStr"/>
      <c r="L56" s="4" t="inlineStr"/>
      <c r="M56" s="4" t="inlineStr"/>
      <c r="N56" s="4" t="inlineStr"/>
    </row>
    <row r="57">
      <c r="A57" s="4" t="n">
        <v>54</v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>
        <f>IF(OR(F57="",G57="",H57=""),"",F57*IF(G57="высокая",3,IF(G57="средняя",2,1))*IF(H57="отсутствует",4,IF(H57="есть на бумаге",3,IF(H57="выполняется",2,1))))</f>
        <v/>
      </c>
      <c r="J57" s="4">
        <f>IF(I57="","",IF(I57&gt;=30,"высокий: в повестку года",IF(I57&gt;=12,"средний","низкий")))</f>
        <v/>
      </c>
      <c r="K57" s="4" t="inlineStr"/>
      <c r="L57" s="4" t="inlineStr"/>
      <c r="M57" s="4" t="inlineStr"/>
      <c r="N57" s="4" t="inlineStr"/>
    </row>
    <row r="58">
      <c r="A58" s="4" t="n">
        <v>55</v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>
        <f>IF(OR(F58="",G58="",H58=""),"",F58*IF(G58="высокая",3,IF(G58="средняя",2,1))*IF(H58="отсутствует",4,IF(H58="есть на бумаге",3,IF(H58="выполняется",2,1))))</f>
        <v/>
      </c>
      <c r="J58" s="4">
        <f>IF(I58="","",IF(I58&gt;=30,"высокий: в повестку года",IF(I58&gt;=12,"средний","низкий")))</f>
        <v/>
      </c>
      <c r="K58" s="4" t="inlineStr"/>
      <c r="L58" s="4" t="inlineStr"/>
      <c r="M58" s="4" t="inlineStr"/>
      <c r="N58" s="4" t="inlineStr"/>
    </row>
    <row r="59">
      <c r="A59" s="4" t="n">
        <v>56</v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>
        <f>IF(OR(F59="",G59="",H59=""),"",F59*IF(G59="высокая",3,IF(G59="средняя",2,1))*IF(H59="отсутствует",4,IF(H59="есть на бумаге",3,IF(H59="выполняется",2,1))))</f>
        <v/>
      </c>
      <c r="J59" s="4">
        <f>IF(I59="","",IF(I59&gt;=30,"высокий: в повестку года",IF(I59&gt;=12,"средний","низкий")))</f>
        <v/>
      </c>
      <c r="K59" s="4" t="inlineStr"/>
      <c r="L59" s="4" t="inlineStr"/>
      <c r="M59" s="4" t="inlineStr"/>
      <c r="N59" s="4" t="inlineStr"/>
    </row>
    <row r="60">
      <c r="A60" s="4" t="n">
        <v>57</v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>
        <f>IF(OR(F60="",G60="",H60=""),"",F60*IF(G60="высокая",3,IF(G60="средняя",2,1))*IF(H60="отсутствует",4,IF(H60="есть на бумаге",3,IF(H60="выполняется",2,1))))</f>
        <v/>
      </c>
      <c r="J60" s="4">
        <f>IF(I60="","",IF(I60&gt;=30,"высокий: в повестку года",IF(I60&gt;=12,"средний","низкий")))</f>
        <v/>
      </c>
      <c r="K60" s="4" t="inlineStr"/>
      <c r="L60" s="4" t="inlineStr"/>
      <c r="M60" s="4" t="inlineStr"/>
      <c r="N60" s="4" t="inlineStr"/>
    </row>
    <row r="61">
      <c r="A61" s="4" t="n">
        <v>58</v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>
        <f>IF(OR(F61="",G61="",H61=""),"",F61*IF(G61="высокая",3,IF(G61="средняя",2,1))*IF(H61="отсутствует",4,IF(H61="есть на бумаге",3,IF(H61="выполняется",2,1))))</f>
        <v/>
      </c>
      <c r="J61" s="4">
        <f>IF(I61="","",IF(I61&gt;=30,"высокий: в повестку года",IF(I61&gt;=12,"средний","низкий")))</f>
        <v/>
      </c>
      <c r="K61" s="4" t="inlineStr"/>
      <c r="L61" s="4" t="inlineStr"/>
      <c r="M61" s="4" t="inlineStr"/>
      <c r="N61" s="4" t="inlineStr"/>
    </row>
    <row r="62">
      <c r="A62" s="4" t="n">
        <v>59</v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>
        <f>IF(OR(F62="",G62="",H62=""),"",F62*IF(G62="высокая",3,IF(G62="средняя",2,1))*IF(H62="отсутствует",4,IF(H62="есть на бумаге",3,IF(H62="выполняется",2,1))))</f>
        <v/>
      </c>
      <c r="J62" s="4">
        <f>IF(I62="","",IF(I62&gt;=30,"высокий: в повестку года",IF(I62&gt;=12,"средний","низкий")))</f>
        <v/>
      </c>
      <c r="K62" s="4" t="inlineStr"/>
      <c r="L62" s="4" t="inlineStr"/>
      <c r="M62" s="4" t="inlineStr"/>
      <c r="N62" s="4" t="inlineStr"/>
    </row>
    <row r="63">
      <c r="A63" s="4" t="n">
        <v>60</v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>
        <f>IF(OR(F63="",G63="",H63=""),"",F63*IF(G63="высокая",3,IF(G63="средняя",2,1))*IF(H63="отсутствует",4,IF(H63="есть на бумаге",3,IF(H63="выполняется",2,1))))</f>
        <v/>
      </c>
      <c r="J63" s="4">
        <f>IF(I63="","",IF(I63&gt;=30,"высокий: в повестку года",IF(I63&gt;=12,"средний","низкий")))</f>
        <v/>
      </c>
      <c r="K63" s="4" t="inlineStr"/>
      <c r="L63" s="4" t="inlineStr"/>
      <c r="M63" s="4" t="inlineStr"/>
      <c r="N63" s="4" t="inlineStr"/>
    </row>
    <row r="64">
      <c r="A64" s="4" t="n">
        <v>61</v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>
        <f>IF(OR(F64="",G64="",H64=""),"",F64*IF(G64="высокая",3,IF(G64="средняя",2,1))*IF(H64="отсутствует",4,IF(H64="есть на бумаге",3,IF(H64="выполняется",2,1))))</f>
        <v/>
      </c>
      <c r="J64" s="4">
        <f>IF(I64="","",IF(I64&gt;=30,"высокий: в повестку года",IF(I64&gt;=12,"средний","низкий")))</f>
        <v/>
      </c>
      <c r="K64" s="4" t="inlineStr"/>
      <c r="L64" s="4" t="inlineStr"/>
      <c r="M64" s="4" t="inlineStr"/>
      <c r="N64" s="4" t="inlineStr"/>
    </row>
    <row r="65">
      <c r="A65" s="4" t="n">
        <v>62</v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>
        <f>IF(OR(F65="",G65="",H65=""),"",F65*IF(G65="высокая",3,IF(G65="средняя",2,1))*IF(H65="отсутствует",4,IF(H65="есть на бумаге",3,IF(H65="выполняется",2,1))))</f>
        <v/>
      </c>
      <c r="J65" s="4">
        <f>IF(I65="","",IF(I65&gt;=30,"высокий: в повестку года",IF(I65&gt;=12,"средний","низкий")))</f>
        <v/>
      </c>
      <c r="K65" s="4" t="inlineStr"/>
      <c r="L65" s="4" t="inlineStr"/>
      <c r="M65" s="4" t="inlineStr"/>
      <c r="N65" s="4" t="inlineStr"/>
    </row>
    <row r="66">
      <c r="A66" s="4" t="n">
        <v>63</v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>
        <f>IF(OR(F66="",G66="",H66=""),"",F66*IF(G66="высокая",3,IF(G66="средняя",2,1))*IF(H66="отсутствует",4,IF(H66="есть на бумаге",3,IF(H66="выполняется",2,1))))</f>
        <v/>
      </c>
      <c r="J66" s="4">
        <f>IF(I66="","",IF(I66&gt;=30,"высокий: в повестку года",IF(I66&gt;=12,"средний","низкий")))</f>
        <v/>
      </c>
      <c r="K66" s="4" t="inlineStr"/>
      <c r="L66" s="4" t="inlineStr"/>
      <c r="M66" s="4" t="inlineStr"/>
      <c r="N66" s="4" t="inlineStr"/>
    </row>
    <row r="67">
      <c r="A67" s="4" t="n">
        <v>64</v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>
        <f>IF(OR(F67="",G67="",H67=""),"",F67*IF(G67="высокая",3,IF(G67="средняя",2,1))*IF(H67="отсутствует",4,IF(H67="есть на бумаге",3,IF(H67="выполняется",2,1))))</f>
        <v/>
      </c>
      <c r="J67" s="4">
        <f>IF(I67="","",IF(I67&gt;=30,"высокий: в повестку года",IF(I67&gt;=12,"средний","низкий")))</f>
        <v/>
      </c>
      <c r="K67" s="4" t="inlineStr"/>
      <c r="L67" s="4" t="inlineStr"/>
      <c r="M67" s="4" t="inlineStr"/>
      <c r="N67" s="4" t="inlineStr"/>
    </row>
    <row r="68">
      <c r="A68" s="4" t="n">
        <v>65</v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>
        <f>IF(OR(F68="",G68="",H68=""),"",F68*IF(G68="высокая",3,IF(G68="средняя",2,1))*IF(H68="отсутствует",4,IF(H68="есть на бумаге",3,IF(H68="выполняется",2,1))))</f>
        <v/>
      </c>
      <c r="J68" s="4">
        <f>IF(I68="","",IF(I68&gt;=30,"высокий: в повестку года",IF(I68&gt;=12,"средний","низкий")))</f>
        <v/>
      </c>
      <c r="K68" s="4" t="inlineStr"/>
      <c r="L68" s="4" t="inlineStr"/>
      <c r="M68" s="4" t="inlineStr"/>
      <c r="N68" s="4" t="inlineStr"/>
    </row>
    <row r="69">
      <c r="A69" s="4" t="n">
        <v>66</v>
      </c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>
        <f>IF(OR(F69="",G69="",H69=""),"",F69*IF(G69="высокая",3,IF(G69="средняя",2,1))*IF(H69="отсутствует",4,IF(H69="есть на бумаге",3,IF(H69="выполняется",2,1))))</f>
        <v/>
      </c>
      <c r="J69" s="4">
        <f>IF(I69="","",IF(I69&gt;=30,"высокий: в повестку года",IF(I69&gt;=12,"средний","низкий")))</f>
        <v/>
      </c>
      <c r="K69" s="4" t="inlineStr"/>
      <c r="L69" s="4" t="inlineStr"/>
      <c r="M69" s="4" t="inlineStr"/>
      <c r="N69" s="4" t="inlineStr"/>
    </row>
    <row r="70">
      <c r="A70" s="4" t="n">
        <v>67</v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>
        <f>IF(OR(F70="",G70="",H70=""),"",F70*IF(G70="высокая",3,IF(G70="средняя",2,1))*IF(H70="отсутствует",4,IF(H70="есть на бумаге",3,IF(H70="выполняется",2,1))))</f>
        <v/>
      </c>
      <c r="J70" s="4">
        <f>IF(I70="","",IF(I70&gt;=30,"высокий: в повестку года",IF(I70&gt;=12,"средний","низкий")))</f>
        <v/>
      </c>
      <c r="K70" s="4" t="inlineStr"/>
      <c r="L70" s="4" t="inlineStr"/>
      <c r="M70" s="4" t="inlineStr"/>
      <c r="N70" s="4" t="inlineStr"/>
    </row>
    <row r="71">
      <c r="A71" s="4" t="n">
        <v>68</v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>
        <f>IF(OR(F71="",G71="",H71=""),"",F71*IF(G71="высокая",3,IF(G71="средняя",2,1))*IF(H71="отсутствует",4,IF(H71="есть на бумаге",3,IF(H71="выполняется",2,1))))</f>
        <v/>
      </c>
      <c r="J71" s="4">
        <f>IF(I71="","",IF(I71&gt;=30,"высокий: в повестку года",IF(I71&gt;=12,"средний","низкий")))</f>
        <v/>
      </c>
      <c r="K71" s="4" t="inlineStr"/>
      <c r="L71" s="4" t="inlineStr"/>
      <c r="M71" s="4" t="inlineStr"/>
      <c r="N71" s="4" t="inlineStr"/>
    </row>
    <row r="72">
      <c r="A72" s="4" t="n">
        <v>69</v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>
        <f>IF(OR(F72="",G72="",H72=""),"",F72*IF(G72="высокая",3,IF(G72="средняя",2,1))*IF(H72="отсутствует",4,IF(H72="есть на бумаге",3,IF(H72="выполняется",2,1))))</f>
        <v/>
      </c>
      <c r="J72" s="4">
        <f>IF(I72="","",IF(I72&gt;=30,"высокий: в повестку года",IF(I72&gt;=12,"средний","низкий")))</f>
        <v/>
      </c>
      <c r="K72" s="4" t="inlineStr"/>
      <c r="L72" s="4" t="inlineStr"/>
      <c r="M72" s="4" t="inlineStr"/>
      <c r="N72" s="4" t="inlineStr"/>
    </row>
    <row r="73">
      <c r="A73" s="4" t="n">
        <v>70</v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>
        <f>IF(OR(F73="",G73="",H73=""),"",F73*IF(G73="высокая",3,IF(G73="средняя",2,1))*IF(H73="отсутствует",4,IF(H73="есть на бумаге",3,IF(H73="выполняется",2,1))))</f>
        <v/>
      </c>
      <c r="J73" s="4">
        <f>IF(I73="","",IF(I73&gt;=30,"высокий: в повестку года",IF(I73&gt;=12,"средний","низкий")))</f>
        <v/>
      </c>
      <c r="K73" s="4" t="inlineStr"/>
      <c r="L73" s="4" t="inlineStr"/>
      <c r="M73" s="4" t="inlineStr"/>
      <c r="N73" s="4" t="inlineStr"/>
    </row>
    <row r="74">
      <c r="A74" s="4" t="n">
        <v>71</v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>
        <f>IF(OR(F74="",G74="",H74=""),"",F74*IF(G74="высокая",3,IF(G74="средняя",2,1))*IF(H74="отсутствует",4,IF(H74="есть на бумаге",3,IF(H74="выполняется",2,1))))</f>
        <v/>
      </c>
      <c r="J74" s="4">
        <f>IF(I74="","",IF(I74&gt;=30,"высокий: в повестку года",IF(I74&gt;=12,"средний","низкий")))</f>
        <v/>
      </c>
      <c r="K74" s="4" t="inlineStr"/>
      <c r="L74" s="4" t="inlineStr"/>
      <c r="M74" s="4" t="inlineStr"/>
      <c r="N74" s="4" t="inlineStr"/>
    </row>
    <row r="75">
      <c r="A75" s="4" t="n">
        <v>72</v>
      </c>
      <c r="B75" s="4" t="inlineStr"/>
      <c r="C75" s="4" t="inlineStr"/>
      <c r="D75" s="4" t="inlineStr"/>
      <c r="E75" s="4" t="inlineStr"/>
      <c r="F75" s="4" t="inlineStr"/>
      <c r="G75" s="4" t="inlineStr"/>
      <c r="H75" s="4" t="inlineStr"/>
      <c r="I75" s="4">
        <f>IF(OR(F75="",G75="",H75=""),"",F75*IF(G75="высокая",3,IF(G75="средняя",2,1))*IF(H75="отсутствует",4,IF(H75="есть на бумаге",3,IF(H75="выполняется",2,1))))</f>
        <v/>
      </c>
      <c r="J75" s="4">
        <f>IF(I75="","",IF(I75&gt;=30,"высокий: в повестку года",IF(I75&gt;=12,"средний","низкий")))</f>
        <v/>
      </c>
      <c r="K75" s="4" t="inlineStr"/>
      <c r="L75" s="4" t="inlineStr"/>
      <c r="M75" s="4" t="inlineStr"/>
      <c r="N75" s="4" t="inlineStr"/>
    </row>
    <row r="76">
      <c r="A76" s="4" t="n">
        <v>73</v>
      </c>
      <c r="B76" s="4" t="inlineStr"/>
      <c r="C76" s="4" t="inlineStr"/>
      <c r="D76" s="4" t="inlineStr"/>
      <c r="E76" s="4" t="inlineStr"/>
      <c r="F76" s="4" t="inlineStr"/>
      <c r="G76" s="4" t="inlineStr"/>
      <c r="H76" s="4" t="inlineStr"/>
      <c r="I76" s="4">
        <f>IF(OR(F76="",G76="",H76=""),"",F76*IF(G76="высокая",3,IF(G76="средняя",2,1))*IF(H76="отсутствует",4,IF(H76="есть на бумаге",3,IF(H76="выполняется",2,1))))</f>
        <v/>
      </c>
      <c r="J76" s="4">
        <f>IF(I76="","",IF(I76&gt;=30,"высокий: в повестку года",IF(I76&gt;=12,"средний","низкий")))</f>
        <v/>
      </c>
      <c r="K76" s="4" t="inlineStr"/>
      <c r="L76" s="4" t="inlineStr"/>
      <c r="M76" s="4" t="inlineStr"/>
      <c r="N76" s="4" t="inlineStr"/>
    </row>
    <row r="77">
      <c r="A77" s="4" t="n">
        <v>74</v>
      </c>
      <c r="B77" s="4" t="inlineStr"/>
      <c r="C77" s="4" t="inlineStr"/>
      <c r="D77" s="4" t="inlineStr"/>
      <c r="E77" s="4" t="inlineStr"/>
      <c r="F77" s="4" t="inlineStr"/>
      <c r="G77" s="4" t="inlineStr"/>
      <c r="H77" s="4" t="inlineStr"/>
      <c r="I77" s="4">
        <f>IF(OR(F77="",G77="",H77=""),"",F77*IF(G77="высокая",3,IF(G77="средняя",2,1))*IF(H77="отсутствует",4,IF(H77="есть на бумаге",3,IF(H77="выполняется",2,1))))</f>
        <v/>
      </c>
      <c r="J77" s="4">
        <f>IF(I77="","",IF(I77&gt;=30,"высокий: в повестку года",IF(I77&gt;=12,"средний","низкий")))</f>
        <v/>
      </c>
      <c r="K77" s="4" t="inlineStr"/>
      <c r="L77" s="4" t="inlineStr"/>
      <c r="M77" s="4" t="inlineStr"/>
      <c r="N77" s="4" t="inlineStr"/>
    </row>
    <row r="78">
      <c r="A78" s="4" t="n">
        <v>75</v>
      </c>
      <c r="B78" s="4" t="inlineStr"/>
      <c r="C78" s="4" t="inlineStr"/>
      <c r="D78" s="4" t="inlineStr"/>
      <c r="E78" s="4" t="inlineStr"/>
      <c r="F78" s="4" t="inlineStr"/>
      <c r="G78" s="4" t="inlineStr"/>
      <c r="H78" s="4" t="inlineStr"/>
      <c r="I78" s="4">
        <f>IF(OR(F78="",G78="",H78=""),"",F78*IF(G78="высокая",3,IF(G78="средняя",2,1))*IF(H78="отсутствует",4,IF(H78="есть на бумаге",3,IF(H78="выполняется",2,1))))</f>
        <v/>
      </c>
      <c r="J78" s="4">
        <f>IF(I78="","",IF(I78&gt;=30,"высокий: в повестку года",IF(I78&gt;=12,"средний","низкий")))</f>
        <v/>
      </c>
      <c r="K78" s="4" t="inlineStr"/>
      <c r="L78" s="4" t="inlineStr"/>
      <c r="M78" s="4" t="inlineStr"/>
      <c r="N78" s="4" t="inlineStr"/>
    </row>
    <row r="79">
      <c r="A79" s="4" t="n">
        <v>76</v>
      </c>
      <c r="B79" s="4" t="inlineStr"/>
      <c r="C79" s="4" t="inlineStr"/>
      <c r="D79" s="4" t="inlineStr"/>
      <c r="E79" s="4" t="inlineStr"/>
      <c r="F79" s="4" t="inlineStr"/>
      <c r="G79" s="4" t="inlineStr"/>
      <c r="H79" s="4" t="inlineStr"/>
      <c r="I79" s="4">
        <f>IF(OR(F79="",G79="",H79=""),"",F79*IF(G79="высокая",3,IF(G79="средняя",2,1))*IF(H79="отсутствует",4,IF(H79="есть на бумаге",3,IF(H79="выполняется",2,1))))</f>
        <v/>
      </c>
      <c r="J79" s="4">
        <f>IF(I79="","",IF(I79&gt;=30,"высокий: в повестку года",IF(I79&gt;=12,"средний","низкий")))</f>
        <v/>
      </c>
      <c r="K79" s="4" t="inlineStr"/>
      <c r="L79" s="4" t="inlineStr"/>
      <c r="M79" s="4" t="inlineStr"/>
      <c r="N79" s="4" t="inlineStr"/>
    </row>
    <row r="80">
      <c r="A80" s="4" t="n">
        <v>77</v>
      </c>
      <c r="B80" s="4" t="inlineStr"/>
      <c r="C80" s="4" t="inlineStr"/>
      <c r="D80" s="4" t="inlineStr"/>
      <c r="E80" s="4" t="inlineStr"/>
      <c r="F80" s="4" t="inlineStr"/>
      <c r="G80" s="4" t="inlineStr"/>
      <c r="H80" s="4" t="inlineStr"/>
      <c r="I80" s="4">
        <f>IF(OR(F80="",G80="",H80=""),"",F80*IF(G80="высокая",3,IF(G80="средняя",2,1))*IF(H80="отсутствует",4,IF(H80="есть на бумаге",3,IF(H80="выполняется",2,1))))</f>
        <v/>
      </c>
      <c r="J80" s="4">
        <f>IF(I80="","",IF(I80&gt;=30,"высокий: в повестку года",IF(I80&gt;=12,"средний","низкий")))</f>
        <v/>
      </c>
      <c r="K80" s="4" t="inlineStr"/>
      <c r="L80" s="4" t="inlineStr"/>
      <c r="M80" s="4" t="inlineStr"/>
      <c r="N80" s="4" t="inlineStr"/>
    </row>
    <row r="81">
      <c r="A81" s="4" t="n">
        <v>78</v>
      </c>
      <c r="B81" s="4" t="inlineStr"/>
      <c r="C81" s="4" t="inlineStr"/>
      <c r="D81" s="4" t="inlineStr"/>
      <c r="E81" s="4" t="inlineStr"/>
      <c r="F81" s="4" t="inlineStr"/>
      <c r="G81" s="4" t="inlineStr"/>
      <c r="H81" s="4" t="inlineStr"/>
      <c r="I81" s="4">
        <f>IF(OR(F81="",G81="",H81=""),"",F81*IF(G81="высокая",3,IF(G81="средняя",2,1))*IF(H81="отсутствует",4,IF(H81="есть на бумаге",3,IF(H81="выполняется",2,1))))</f>
        <v/>
      </c>
      <c r="J81" s="4">
        <f>IF(I81="","",IF(I81&gt;=30,"высокий: в повестку года",IF(I81&gt;=12,"средний","низкий")))</f>
        <v/>
      </c>
      <c r="K81" s="4" t="inlineStr"/>
      <c r="L81" s="4" t="inlineStr"/>
      <c r="M81" s="4" t="inlineStr"/>
      <c r="N81" s="4" t="inlineStr"/>
    </row>
    <row r="82">
      <c r="A82" s="4" t="n">
        <v>79</v>
      </c>
      <c r="B82" s="4" t="inlineStr"/>
      <c r="C82" s="4" t="inlineStr"/>
      <c r="D82" s="4" t="inlineStr"/>
      <c r="E82" s="4" t="inlineStr"/>
      <c r="F82" s="4" t="inlineStr"/>
      <c r="G82" s="4" t="inlineStr"/>
      <c r="H82" s="4" t="inlineStr"/>
      <c r="I82" s="4">
        <f>IF(OR(F82="",G82="",H82=""),"",F82*IF(G82="высокая",3,IF(G82="средняя",2,1))*IF(H82="отсутствует",4,IF(H82="есть на бумаге",3,IF(H82="выполняется",2,1))))</f>
        <v/>
      </c>
      <c r="J82" s="4">
        <f>IF(I82="","",IF(I82&gt;=30,"высокий: в повестку года",IF(I82&gt;=12,"средний","низкий")))</f>
        <v/>
      </c>
      <c r="K82" s="4" t="inlineStr"/>
      <c r="L82" s="4" t="inlineStr"/>
      <c r="M82" s="4" t="inlineStr"/>
      <c r="N82" s="4" t="inlineStr"/>
    </row>
    <row r="83">
      <c r="A83" s="4" t="n">
        <v>80</v>
      </c>
      <c r="B83" s="4" t="inlineStr"/>
      <c r="C83" s="4" t="inlineStr"/>
      <c r="D83" s="4" t="inlineStr"/>
      <c r="E83" s="4" t="inlineStr"/>
      <c r="F83" s="4" t="inlineStr"/>
      <c r="G83" s="4" t="inlineStr"/>
      <c r="H83" s="4" t="inlineStr"/>
      <c r="I83" s="4">
        <f>IF(OR(F83="",G83="",H83=""),"",F83*IF(G83="высокая",3,IF(G83="средняя",2,1))*IF(H83="отсутствует",4,IF(H83="есть на бумаге",3,IF(H83="выполняется",2,1))))</f>
        <v/>
      </c>
      <c r="J83" s="4">
        <f>IF(I83="","",IF(I83&gt;=30,"высокий: в повестку года",IF(I83&gt;=12,"средний","низкий")))</f>
        <v/>
      </c>
      <c r="K83" s="4" t="inlineStr"/>
      <c r="L83" s="4" t="inlineStr"/>
      <c r="M83" s="4" t="inlineStr"/>
      <c r="N83" s="4" t="inlineStr"/>
    </row>
  </sheetData>
  <mergeCells count="1">
    <mergeCell ref="A1:N1"/>
  </mergeCells>
  <conditionalFormatting sqref="J4:J83">
    <cfRule type="expression" priority="1" dxfId="0">
      <formula>ISNUMBER(SEARCH("высокий",J4))</formula>
    </cfRule>
    <cfRule type="expression" priority="2" dxfId="1">
      <formula>ISNUMBER(SEARCH("средний",J4))</formula>
    </cfRule>
  </conditionalFormatting>
  <dataValidations count="4">
    <dataValidation sqref="C4:C83" showDropDown="0" showInputMessage="0" showErrorMessage="0" allowBlank="1" type="list">
      <formula1>"Антикоррупция,Санкции,Антимонопольное,Персональные данные,Налоги,Охрана труда,Отраслевое регулирование,Прочее"</formula1>
    </dataValidation>
    <dataValidation sqref="G4:G83" showDropDown="0" showInputMessage="0" showErrorMessage="0" allowBlank="1" type="list">
      <formula1>"высокая,средняя,низкая"</formula1>
    </dataValidation>
    <dataValidation sqref="H4:H83" showDropDown="0" showInputMessage="0" showErrorMessage="0" allowBlank="1" type="list">
      <formula1>"отсутствует,есть на бумаге,выполняется,проверенно работает"</formula1>
    </dataValidation>
    <dataValidation sqref="F4:F83" showDropDown="0" showInputMessage="0" showErrorMessage="0" allowBlank="1" error="Введите число от 1 до 5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4" customWidth="1" min="4" max="4"/>
    <col width="34" customWidth="1" min="5" max="5"/>
  </cols>
  <sheetData>
    <row r="1">
      <c r="A1" s="5" t="inlineStr">
        <is>
          <t>Направление</t>
        </is>
      </c>
      <c r="B1" s="5" t="inlineStr">
        <is>
          <t>Требований</t>
        </is>
      </c>
      <c r="C1" s="5" t="inlineStr">
        <is>
          <t>Высокий приоритет</t>
        </is>
      </c>
      <c r="D1" s="5" t="inlineStr">
        <is>
          <t>Максимальный балл</t>
        </is>
      </c>
      <c r="E1" s="5" t="inlineStr">
        <is>
          <t>Владелец на уровне правления</t>
        </is>
      </c>
    </row>
    <row r="2">
      <c r="A2" s="6" t="inlineStr">
        <is>
          <t>Антикоррупция</t>
        </is>
      </c>
      <c r="B2" s="6">
        <f>COUNTIF('Реестр требований'!C4:C83,A2)</f>
        <v/>
      </c>
      <c r="C2" s="6">
        <f>COUNTIFS('Реестр требований'!C4:C83,A2,'Реестр требований'!I4:I83,"&gt;=30")</f>
        <v/>
      </c>
      <c r="D2" s="6">
        <f>IF(B2=0,"",_xlfn.MAXIFS('Реестр требований'!I4:I83,'Реестр требований'!C4:C83,A2))</f>
        <v/>
      </c>
      <c r="E2" s="7" t="n"/>
    </row>
    <row r="3">
      <c r="A3" s="6" t="inlineStr">
        <is>
          <t>Санкции</t>
        </is>
      </c>
      <c r="B3" s="6">
        <f>COUNTIF('Реестр требований'!C4:C83,A3)</f>
        <v/>
      </c>
      <c r="C3" s="6">
        <f>COUNTIFS('Реестр требований'!C4:C83,A3,'Реестр требований'!I4:I83,"&gt;=30")</f>
        <v/>
      </c>
      <c r="D3" s="6">
        <f>IF(B3=0,"",_xlfn.MAXIFS('Реестр требований'!I4:I83,'Реестр требований'!C4:C83,A3))</f>
        <v/>
      </c>
      <c r="E3" s="7" t="n"/>
    </row>
    <row r="4">
      <c r="A4" s="6" t="inlineStr">
        <is>
          <t>Антимонопольное</t>
        </is>
      </c>
      <c r="B4" s="6">
        <f>COUNTIF('Реестр требований'!C4:C83,A4)</f>
        <v/>
      </c>
      <c r="C4" s="6">
        <f>COUNTIFS('Реестр требований'!C4:C83,A4,'Реестр требований'!I4:I83,"&gt;=30")</f>
        <v/>
      </c>
      <c r="D4" s="6">
        <f>IF(B4=0,"",_xlfn.MAXIFS('Реестр требований'!I4:I83,'Реестр требований'!C4:C83,A4))</f>
        <v/>
      </c>
      <c r="E4" s="7" t="n"/>
    </row>
    <row r="5">
      <c r="A5" s="6" t="inlineStr">
        <is>
          <t>Персональные данные</t>
        </is>
      </c>
      <c r="B5" s="6">
        <f>COUNTIF('Реестр требований'!C4:C83,A5)</f>
        <v/>
      </c>
      <c r="C5" s="6">
        <f>COUNTIFS('Реестр требований'!C4:C83,A5,'Реестр требований'!I4:I83,"&gt;=30")</f>
        <v/>
      </c>
      <c r="D5" s="6">
        <f>IF(B5=0,"",_xlfn.MAXIFS('Реестр требований'!I4:I83,'Реестр требований'!C4:C83,A5))</f>
        <v/>
      </c>
      <c r="E5" s="7" t="n"/>
    </row>
    <row r="6">
      <c r="A6" s="6" t="inlineStr">
        <is>
          <t>Налоги</t>
        </is>
      </c>
      <c r="B6" s="6">
        <f>COUNTIF('Реестр требований'!C4:C83,A6)</f>
        <v/>
      </c>
      <c r="C6" s="6">
        <f>COUNTIFS('Реестр требований'!C4:C83,A6,'Реестр требований'!I4:I83,"&gt;=30")</f>
        <v/>
      </c>
      <c r="D6" s="6">
        <f>IF(B6=0,"",_xlfn.MAXIFS('Реестр требований'!I4:I83,'Реестр требований'!C4:C83,A6))</f>
        <v/>
      </c>
      <c r="E6" s="7" t="n"/>
    </row>
    <row r="7">
      <c r="A7" s="6" t="inlineStr">
        <is>
          <t>Охрана труда</t>
        </is>
      </c>
      <c r="B7" s="6">
        <f>COUNTIF('Реестр требований'!C4:C83,A7)</f>
        <v/>
      </c>
      <c r="C7" s="6">
        <f>COUNTIFS('Реестр требований'!C4:C83,A7,'Реестр требований'!I4:I83,"&gt;=30")</f>
        <v/>
      </c>
      <c r="D7" s="6">
        <f>IF(B7=0,"",_xlfn.MAXIFS('Реестр требований'!I4:I83,'Реестр требований'!C4:C83,A7))</f>
        <v/>
      </c>
      <c r="E7" s="7" t="n"/>
    </row>
    <row r="8">
      <c r="A8" s="6" t="inlineStr">
        <is>
          <t>Отраслевое регулирование</t>
        </is>
      </c>
      <c r="B8" s="6">
        <f>COUNTIF('Реестр требований'!C4:C83,A8)</f>
        <v/>
      </c>
      <c r="C8" s="6">
        <f>COUNTIFS('Реестр требований'!C4:C83,A8,'Реестр требований'!I4:I83,"&gt;=30")</f>
        <v/>
      </c>
      <c r="D8" s="6">
        <f>IF(B8=0,"",_xlfn.MAXIFS('Реестр требований'!I4:I83,'Реестр требований'!C4:C83,A8))</f>
        <v/>
      </c>
      <c r="E8" s="7" t="n"/>
    </row>
    <row r="9">
      <c r="A9" s="6" t="inlineStr">
        <is>
          <t>Прочее</t>
        </is>
      </c>
      <c r="B9" s="6">
        <f>COUNTIF('Реестр требований'!C4:C83,A9)</f>
        <v/>
      </c>
      <c r="C9" s="6">
        <f>COUNTIFS('Реестр требований'!C4:C83,A9,'Реестр требований'!I4:I83,"&gt;=30")</f>
        <v/>
      </c>
      <c r="D9" s="6">
        <f>IF(B9=0,"",_xlfn.MAXIFS('Реестр требований'!I4:I83,'Реестр требований'!C4:C83,A9))</f>
        <v/>
      </c>
      <c r="E9" s="7" t="n"/>
    </row>
    <row r="11">
      <c r="A11" s="8" t="inlineStr">
        <is>
          <t>В корпоративный реестр поднимаются агрегированные строки по направлениям, каждая со своим владельцем на уровне правления. Полный перечень требований ведет комплаенс в этом реестре.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0" customWidth="1" min="2" max="2"/>
  </cols>
  <sheetData>
    <row r="1" ht="44" customHeight="1">
      <c r="A1" s="2" t="inlineStr">
        <is>
          <t>Шаг</t>
        </is>
      </c>
      <c r="B1" s="2" t="inlineStr">
        <is>
          <t>Что сделать</t>
        </is>
      </c>
    </row>
    <row r="2">
      <c r="A2" s="4" t="n">
        <v>1</v>
      </c>
      <c r="B2" s="4" t="inlineStr">
        <is>
          <t>Составить перечень требований: инвентаризация обязательных требований, применимых к компании. Обычно от тридцати до восьмидесяти позиций.</t>
        </is>
      </c>
    </row>
    <row r="3">
      <c r="A3" s="4" t="n">
        <v>2</v>
      </c>
      <c r="B3" s="4" t="inlineStr">
        <is>
          <t>Определить владельца по каждому: руководителя, в чьем процессе требование исполняется.</t>
        </is>
      </c>
    </row>
    <row r="4">
      <c r="A4" s="4" t="n">
        <v>3</v>
      </c>
      <c r="B4" s="4" t="inlineStr">
        <is>
          <t>Оценить по трем измерениям: тяжесть, подверженность, надежность механизма.</t>
        </is>
      </c>
    </row>
    <row r="5">
      <c r="A5" s="4" t="n">
        <v>4</v>
      </c>
      <c r="B5" s="4" t="inlineStr">
        <is>
          <t>Закрыть разрывы: процедура, инструктаж, автоматическая проверка, документирование.</t>
        </is>
      </c>
    </row>
    <row r="6">
      <c r="A6" s="4" t="n">
        <v>5</v>
      </c>
      <c r="B6" s="4" t="inlineStr">
        <is>
          <t>Поставить мониторинг: индикаторы, самооценка подразделений, выборочные проверки, разбор обращений на горячую линию.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9" t="inlineStr">
        <is>
          <t>Шаблон подготовлен risk-place.ru. Свободное использование внутри организации. Версия от 23.10.2026.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2026-10-23T12:53:37Z</dcterms:created>
  <dcterms:modified xmlns:dcterms="http://purl.org/dc/terms/" xmlns:xsi="http://www.w3.org/2001/XMLSchema-instance" xsi:type="dcterms:W3CDTF">2026-10-23T12:53:37Z</dcterms:modified>
</cp:coreProperties>
</file>