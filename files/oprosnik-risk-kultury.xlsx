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рос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тог по элементам" sheetId="3" state="visible" r:id="rId3"/>
    <sheet xmlns:r="http://schemas.openxmlformats.org/officeDocument/2006/relationships" name="Показатели" sheetId="4" state="visible" r:id="rId4"/>
    <sheet xmlns:r="http://schemas.openxmlformats.org/officeDocument/2006/relationships" name="Разбор кейсов" sheetId="5" state="visible" r:id="rId5"/>
    <sheet xmlns:r="http://schemas.openxmlformats.org/officeDocument/2006/relationships" name="О шаблон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  <font>
      <sz val="10"/>
    </font>
    <font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7DB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0" customWidth="1" min="3" max="3"/>
    <col width="22" customWidth="1" min="4" max="4"/>
  </cols>
  <sheetData>
    <row r="1" ht="54" customHeight="1">
      <c r="A1" s="1" t="inlineStr">
        <is>
          <t>Анкета для раздачи сотрудникам: 12 утверждений по четырем элементам риск-культуры со страницы risk-place.ru/risk-kultura/. Опрос анонимный. Ответы сотрудников переносите на лист «Ответы», по одному столбцу на человека.</t>
        </is>
      </c>
    </row>
    <row r="3" ht="44" customHeight="1">
      <c r="A3" s="2" t="inlineStr">
        <is>
          <t>№</t>
        </is>
      </c>
      <c r="B3" s="2" t="inlineStr">
        <is>
          <t>Элемент</t>
        </is>
      </c>
      <c r="C3" s="2" t="inlineStr">
        <is>
          <t>Утверждение</t>
        </is>
      </c>
      <c r="D3" s="2" t="inlineStr">
        <is>
          <t>Ответ: 1 — не согласен, 5 — полностью согласен</t>
        </is>
      </c>
    </row>
    <row r="4">
      <c r="A4" s="3" t="n">
        <v>1</v>
      </c>
      <c r="B4" s="3" t="inlineStr">
        <is>
          <t>Пример руководства</t>
        </is>
      </c>
      <c r="C4" s="3" t="inlineStr">
        <is>
          <t>Первое лицо компании само задает вопросы о рисках, когда обсуждаются крупные решения.</t>
        </is>
      </c>
      <c r="D4" s="4" t="inlineStr"/>
    </row>
    <row r="5">
      <c r="A5" s="3" t="n">
        <v>2</v>
      </c>
      <c r="B5" s="3" t="inlineStr">
        <is>
          <t>Пример руководства</t>
        </is>
      </c>
      <c r="C5" s="3" t="inlineStr">
        <is>
          <t>Мой руководитель обсуждает риски в обычной работе, за пределами профильного комитета.</t>
        </is>
      </c>
      <c r="D5" s="4" t="inlineStr"/>
    </row>
    <row r="6">
      <c r="A6" s="3" t="n">
        <v>3</v>
      </c>
      <c r="B6" s="3" t="inlineStr">
        <is>
          <t>Пример руководства</t>
        </is>
      </c>
      <c r="C6" s="3" t="inlineStr">
        <is>
          <t>Руководство открыто говорит о собственных ошибках и о том, что из них вынесено.</t>
        </is>
      </c>
      <c r="D6" s="4" t="inlineStr"/>
    </row>
    <row r="7">
      <c r="A7" s="3" t="n">
        <v>4</v>
      </c>
      <c r="B7" s="3" t="inlineStr">
        <is>
          <t>Открытость</t>
        </is>
      </c>
      <c r="C7" s="3" t="inlineStr">
        <is>
          <t>Если я сообщу о проблеме или ошибке, меня не накажут за сам факт сообщения.</t>
        </is>
      </c>
      <c r="D7" s="4" t="inlineStr"/>
    </row>
    <row r="8">
      <c r="A8" s="3" t="n">
        <v>5</v>
      </c>
      <c r="B8" s="3" t="inlineStr">
        <is>
          <t>Открытость</t>
        </is>
      </c>
      <c r="C8" s="3" t="inlineStr">
        <is>
          <t>О проблемах у нас узнают на раннем этапе, когда их еще можно исправить.</t>
        </is>
      </c>
      <c r="D8" s="4" t="inlineStr"/>
    </row>
    <row r="9">
      <c r="A9" s="3" t="n">
        <v>6</v>
      </c>
      <c r="B9" s="3" t="inlineStr">
        <is>
          <t>Открытость</t>
        </is>
      </c>
      <c r="C9" s="3" t="inlineStr">
        <is>
          <t>Я знаю, куда сообщить о происшествии или почти происшествии.</t>
        </is>
      </c>
      <c r="D9" s="4" t="inlineStr"/>
    </row>
    <row r="10">
      <c r="A10" s="3" t="n">
        <v>7</v>
      </c>
      <c r="B10" s="3" t="inlineStr">
        <is>
          <t>Подотчетность</t>
        </is>
      </c>
      <c r="C10" s="3" t="inlineStr">
        <is>
          <t>Решения о принятии риска у нас фиксируются письменно с указанием ответственного.</t>
        </is>
      </c>
      <c r="D10" s="4" t="inlineStr"/>
    </row>
    <row r="11">
      <c r="A11" s="3" t="n">
        <v>8</v>
      </c>
      <c r="B11" s="3" t="inlineStr">
        <is>
          <t>Подотчетность</t>
        </is>
      </c>
      <c r="C11" s="3" t="inlineStr">
        <is>
          <t>За результат решения, принятого с риском, отвечает конкретный человек.</t>
        </is>
      </c>
      <c r="D11" s="4" t="inlineStr"/>
    </row>
    <row r="12">
      <c r="A12" s="3" t="n">
        <v>9</v>
      </c>
      <c r="B12" s="3" t="inlineStr">
        <is>
          <t>Подотчетность</t>
        </is>
      </c>
      <c r="C12" s="3" t="inlineStr">
        <is>
          <t>Я знаю, за какие риски отвечаю лично.</t>
        </is>
      </c>
      <c r="D12" s="4" t="inlineStr"/>
    </row>
    <row r="13">
      <c r="A13" s="3" t="n">
        <v>10</v>
      </c>
      <c r="B13" s="3" t="inlineStr">
        <is>
          <t>Компетентность</t>
        </is>
      </c>
      <c r="C13" s="3" t="inlineStr">
        <is>
          <t>Руководители моего подразделения понимают методику оценки рисков и пользуются ею.</t>
        </is>
      </c>
      <c r="D13" s="4" t="inlineStr"/>
    </row>
    <row r="14">
      <c r="A14" s="3" t="n">
        <v>11</v>
      </c>
      <c r="B14" s="3" t="inlineStr">
        <is>
          <t>Компетентность</t>
        </is>
      </c>
      <c r="C14" s="3" t="inlineStr">
        <is>
          <t>Оценку рисков нашего подразделения выполняют сотрудники подразделения.</t>
        </is>
      </c>
      <c r="D14" s="4" t="inlineStr"/>
    </row>
    <row r="15">
      <c r="A15" s="3" t="n">
        <v>12</v>
      </c>
      <c r="B15" s="3" t="inlineStr">
        <is>
          <t>Компетентность</t>
        </is>
      </c>
      <c r="C15" s="3" t="inlineStr">
        <is>
          <t>Я могу объяснить, как риски моей работы влияют на цели компании.</t>
        </is>
      </c>
      <c r="D15" s="4" t="inlineStr"/>
    </row>
  </sheetData>
  <mergeCells count="1">
    <mergeCell ref="A1:D1"/>
  </mergeCells>
  <dataValidations count="1">
    <dataValidation sqref="D4:D15" showDropDown="0" showInputMessage="0" showErrorMessage="0" allowBlank="1" error="Введите число от 1 до 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6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10" customWidth="1" min="44" max="44"/>
    <col width="9" customWidth="1" min="45" max="45"/>
  </cols>
  <sheetData>
    <row r="1">
      <c r="A1" s="5" t="inlineStr">
        <is>
          <t>Ответы 1-5, один столбец на анкету. Первый столбец — пример. Средние считаются формулами.</t>
        </is>
      </c>
    </row>
    <row r="3">
      <c r="A3" s="2" t="inlineStr">
        <is>
          <t>№</t>
        </is>
      </c>
      <c r="B3" s="2" t="inlineStr">
        <is>
          <t>Элемент</t>
        </is>
      </c>
      <c r="C3" s="2" t="inlineStr">
        <is>
          <t>Утверждение</t>
        </is>
      </c>
      <c r="D3" s="2" t="inlineStr">
        <is>
          <t>А1</t>
        </is>
      </c>
      <c r="E3" s="2" t="inlineStr">
        <is>
          <t>А2</t>
        </is>
      </c>
      <c r="F3" s="2" t="inlineStr">
        <is>
          <t>А3</t>
        </is>
      </c>
      <c r="G3" s="2" t="inlineStr">
        <is>
          <t>А4</t>
        </is>
      </c>
      <c r="H3" s="2" t="inlineStr">
        <is>
          <t>А5</t>
        </is>
      </c>
      <c r="I3" s="2" t="inlineStr">
        <is>
          <t>А6</t>
        </is>
      </c>
      <c r="J3" s="2" t="inlineStr">
        <is>
          <t>А7</t>
        </is>
      </c>
      <c r="K3" s="2" t="inlineStr">
        <is>
          <t>А8</t>
        </is>
      </c>
      <c r="L3" s="2" t="inlineStr">
        <is>
          <t>А9</t>
        </is>
      </c>
      <c r="M3" s="2" t="inlineStr">
        <is>
          <t>А10</t>
        </is>
      </c>
      <c r="N3" s="2" t="inlineStr">
        <is>
          <t>А11</t>
        </is>
      </c>
      <c r="O3" s="2" t="inlineStr">
        <is>
          <t>А12</t>
        </is>
      </c>
      <c r="P3" s="2" t="inlineStr">
        <is>
          <t>А13</t>
        </is>
      </c>
      <c r="Q3" s="2" t="inlineStr">
        <is>
          <t>А14</t>
        </is>
      </c>
      <c r="R3" s="2" t="inlineStr">
        <is>
          <t>А15</t>
        </is>
      </c>
      <c r="S3" s="2" t="inlineStr">
        <is>
          <t>А16</t>
        </is>
      </c>
      <c r="T3" s="2" t="inlineStr">
        <is>
          <t>А17</t>
        </is>
      </c>
      <c r="U3" s="2" t="inlineStr">
        <is>
          <t>А18</t>
        </is>
      </c>
      <c r="V3" s="2" t="inlineStr">
        <is>
          <t>А19</t>
        </is>
      </c>
      <c r="W3" s="2" t="inlineStr">
        <is>
          <t>А20</t>
        </is>
      </c>
      <c r="X3" s="2" t="inlineStr">
        <is>
          <t>А21</t>
        </is>
      </c>
      <c r="Y3" s="2" t="inlineStr">
        <is>
          <t>А22</t>
        </is>
      </c>
      <c r="Z3" s="2" t="inlineStr">
        <is>
          <t>А23</t>
        </is>
      </c>
      <c r="AA3" s="2" t="inlineStr">
        <is>
          <t>А24</t>
        </is>
      </c>
      <c r="AB3" s="2" t="inlineStr">
        <is>
          <t>А25</t>
        </is>
      </c>
      <c r="AC3" s="2" t="inlineStr">
        <is>
          <t>А26</t>
        </is>
      </c>
      <c r="AD3" s="2" t="inlineStr">
        <is>
          <t>А27</t>
        </is>
      </c>
      <c r="AE3" s="2" t="inlineStr">
        <is>
          <t>А28</t>
        </is>
      </c>
      <c r="AF3" s="2" t="inlineStr">
        <is>
          <t>А29</t>
        </is>
      </c>
      <c r="AG3" s="2" t="inlineStr">
        <is>
          <t>А30</t>
        </is>
      </c>
      <c r="AH3" s="2" t="inlineStr">
        <is>
          <t>А31</t>
        </is>
      </c>
      <c r="AI3" s="2" t="inlineStr">
        <is>
          <t>А32</t>
        </is>
      </c>
      <c r="AJ3" s="2" t="inlineStr">
        <is>
          <t>А33</t>
        </is>
      </c>
      <c r="AK3" s="2" t="inlineStr">
        <is>
          <t>А34</t>
        </is>
      </c>
      <c r="AL3" s="2" t="inlineStr">
        <is>
          <t>А35</t>
        </is>
      </c>
      <c r="AM3" s="2" t="inlineStr">
        <is>
          <t>А36</t>
        </is>
      </c>
      <c r="AN3" s="2" t="inlineStr">
        <is>
          <t>А37</t>
        </is>
      </c>
      <c r="AO3" s="2" t="inlineStr">
        <is>
          <t>А38</t>
        </is>
      </c>
      <c r="AP3" s="2" t="inlineStr">
        <is>
          <t>А39</t>
        </is>
      </c>
      <c r="AQ3" s="2" t="inlineStr">
        <is>
          <t>А40</t>
        </is>
      </c>
      <c r="AR3" s="2" t="inlineStr">
        <is>
          <t>Среднее</t>
        </is>
      </c>
      <c r="AS3" s="2" t="inlineStr">
        <is>
          <t>Ответов</t>
        </is>
      </c>
    </row>
    <row r="4">
      <c r="A4" s="6" t="n">
        <v>1</v>
      </c>
      <c r="B4" s="6" t="inlineStr">
        <is>
          <t>Пример руководства</t>
        </is>
      </c>
      <c r="C4" s="6" t="inlineStr">
        <is>
          <t>Первое лицо компании само задает вопросы о рисках, когда обсуждаются крупные решения.</t>
        </is>
      </c>
      <c r="D4" s="7" t="n">
        <v>4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>
        <f>IF(COUNT(D4:AQ4)=0,"",ROUND(AVERAGE(D4:AQ4),1))</f>
        <v/>
      </c>
      <c r="AS4" s="6">
        <f>COUNT(D4:AQ4)</f>
        <v/>
      </c>
    </row>
    <row r="5">
      <c r="A5" s="6" t="n">
        <v>2</v>
      </c>
      <c r="B5" s="6" t="inlineStr">
        <is>
          <t>Пример руководства</t>
        </is>
      </c>
      <c r="C5" s="6" t="inlineStr">
        <is>
          <t>Мой руководитель обсуждает риски в обычной работе, за пределами профильного комитета.</t>
        </is>
      </c>
      <c r="D5" s="7" t="n">
        <v>3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>
        <f>IF(COUNT(D5:AQ5)=0,"",ROUND(AVERAGE(D5:AQ5),1))</f>
        <v/>
      </c>
      <c r="AS5" s="6">
        <f>COUNT(D5:AQ5)</f>
        <v/>
      </c>
    </row>
    <row r="6">
      <c r="A6" s="6" t="n">
        <v>3</v>
      </c>
      <c r="B6" s="6" t="inlineStr">
        <is>
          <t>Пример руководства</t>
        </is>
      </c>
      <c r="C6" s="6" t="inlineStr">
        <is>
          <t>Руководство открыто говорит о собственных ошибках и о том, что из них вынесено.</t>
        </is>
      </c>
      <c r="D6" s="7" t="n">
        <v>3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>
        <f>IF(COUNT(D6:AQ6)=0,"",ROUND(AVERAGE(D6:AQ6),1))</f>
        <v/>
      </c>
      <c r="AS6" s="6">
        <f>COUNT(D6:AQ6)</f>
        <v/>
      </c>
    </row>
    <row r="7">
      <c r="A7" s="6" t="n">
        <v>4</v>
      </c>
      <c r="B7" s="6" t="inlineStr">
        <is>
          <t>Открытость</t>
        </is>
      </c>
      <c r="C7" s="6" t="inlineStr">
        <is>
          <t>Если я сообщу о проблеме или ошибке, меня не накажут за сам факт сообщения.</t>
        </is>
      </c>
      <c r="D7" s="7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>
        <f>IF(COUNT(D7:AQ7)=0,"",ROUND(AVERAGE(D7:AQ7),1))</f>
        <v/>
      </c>
      <c r="AS7" s="6">
        <f>COUNT(D7:AQ7)</f>
        <v/>
      </c>
    </row>
    <row r="8">
      <c r="A8" s="6" t="n">
        <v>5</v>
      </c>
      <c r="B8" s="6" t="inlineStr">
        <is>
          <t>Открытость</t>
        </is>
      </c>
      <c r="C8" s="6" t="inlineStr">
        <is>
          <t>О проблемах у нас узнают на раннем этапе, когда их еще можно исправить.</t>
        </is>
      </c>
      <c r="D8" s="7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>
        <f>IF(COUNT(D8:AQ8)=0,"",ROUND(AVERAGE(D8:AQ8),1))</f>
        <v/>
      </c>
      <c r="AS8" s="6">
        <f>COUNT(D8:AQ8)</f>
        <v/>
      </c>
    </row>
    <row r="9">
      <c r="A9" s="6" t="n">
        <v>6</v>
      </c>
      <c r="B9" s="6" t="inlineStr">
        <is>
          <t>Открытость</t>
        </is>
      </c>
      <c r="C9" s="6" t="inlineStr">
        <is>
          <t>Я знаю, куда сообщить о происшествии или почти происшествии.</t>
        </is>
      </c>
      <c r="D9" s="7" t="n">
        <v>4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>
        <f>IF(COUNT(D9:AQ9)=0,"",ROUND(AVERAGE(D9:AQ9),1))</f>
        <v/>
      </c>
      <c r="AS9" s="6">
        <f>COUNT(D9:AQ9)</f>
        <v/>
      </c>
    </row>
    <row r="10">
      <c r="A10" s="6" t="n">
        <v>7</v>
      </c>
      <c r="B10" s="6" t="inlineStr">
        <is>
          <t>Подотчетность</t>
        </is>
      </c>
      <c r="C10" s="6" t="inlineStr">
        <is>
          <t>Решения о принятии риска у нас фиксируются письменно с указанием ответственного.</t>
        </is>
      </c>
      <c r="D10" s="7" t="n">
        <v>3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>
        <f>IF(COUNT(D10:AQ10)=0,"",ROUND(AVERAGE(D10:AQ10),1))</f>
        <v/>
      </c>
      <c r="AS10" s="6">
        <f>COUNT(D10:AQ10)</f>
        <v/>
      </c>
    </row>
    <row r="11">
      <c r="A11" s="6" t="n">
        <v>8</v>
      </c>
      <c r="B11" s="6" t="inlineStr">
        <is>
          <t>Подотчетность</t>
        </is>
      </c>
      <c r="C11" s="6" t="inlineStr">
        <is>
          <t>За результат решения, принятого с риском, отвечает конкретный человек.</t>
        </is>
      </c>
      <c r="D11" s="7" t="n">
        <v>3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>
        <f>IF(COUNT(D11:AQ11)=0,"",ROUND(AVERAGE(D11:AQ11),1))</f>
        <v/>
      </c>
      <c r="AS11" s="6">
        <f>COUNT(D11:AQ11)</f>
        <v/>
      </c>
    </row>
    <row r="12">
      <c r="A12" s="6" t="n">
        <v>9</v>
      </c>
      <c r="B12" s="6" t="inlineStr">
        <is>
          <t>Подотчетность</t>
        </is>
      </c>
      <c r="C12" s="6" t="inlineStr">
        <is>
          <t>Я знаю, за какие риски отвечаю лично.</t>
        </is>
      </c>
      <c r="D12" s="7" t="n">
        <v>4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>
        <f>IF(COUNT(D12:AQ12)=0,"",ROUND(AVERAGE(D12:AQ12),1))</f>
        <v/>
      </c>
      <c r="AS12" s="6">
        <f>COUNT(D12:AQ12)</f>
        <v/>
      </c>
    </row>
    <row r="13">
      <c r="A13" s="6" t="n">
        <v>10</v>
      </c>
      <c r="B13" s="6" t="inlineStr">
        <is>
          <t>Компетентность</t>
        </is>
      </c>
      <c r="C13" s="6" t="inlineStr">
        <is>
          <t>Руководители моего подразделения понимают методику оценки рисков и пользуются ею.</t>
        </is>
      </c>
      <c r="D13" s="7" t="n">
        <v>3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>
        <f>IF(COUNT(D13:AQ13)=0,"",ROUND(AVERAGE(D13:AQ13),1))</f>
        <v/>
      </c>
      <c r="AS13" s="6">
        <f>COUNT(D13:AQ13)</f>
        <v/>
      </c>
    </row>
    <row r="14">
      <c r="A14" s="6" t="n">
        <v>11</v>
      </c>
      <c r="B14" s="6" t="inlineStr">
        <is>
          <t>Компетентность</t>
        </is>
      </c>
      <c r="C14" s="6" t="inlineStr">
        <is>
          <t>Оценку рисков нашего подразделения выполняют сотрудники подразделения.</t>
        </is>
      </c>
      <c r="D14" s="7" t="n">
        <v>2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>
        <f>IF(COUNT(D14:AQ14)=0,"",ROUND(AVERAGE(D14:AQ14),1))</f>
        <v/>
      </c>
      <c r="AS14" s="6">
        <f>COUNT(D14:AQ14)</f>
        <v/>
      </c>
    </row>
    <row r="15">
      <c r="A15" s="6" t="n">
        <v>12</v>
      </c>
      <c r="B15" s="6" t="inlineStr">
        <is>
          <t>Компетентность</t>
        </is>
      </c>
      <c r="C15" s="6" t="inlineStr">
        <is>
          <t>Я могу объяснить, как риски моей работы влияют на цели компании.</t>
        </is>
      </c>
      <c r="D15" s="7" t="n">
        <v>4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>
        <f>IF(COUNT(D15:AQ15)=0,"",ROUND(AVERAGE(D15:AQ15),1))</f>
        <v/>
      </c>
      <c r="AS15" s="6">
        <f>COUNT(D15:AQ15)</f>
        <v/>
      </c>
    </row>
  </sheetData>
  <dataValidations count="1">
    <dataValidation sqref="D4:AQ15" showDropDown="0" showInputMessage="0" showErrorMessage="0" allowBlank="1" error="Введите число от 1 до 5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46" customWidth="1" min="4" max="4"/>
    <col width="46" customWidth="1" min="5" max="5"/>
  </cols>
  <sheetData>
    <row r="1">
      <c r="A1" s="8" t="inlineStr">
        <is>
          <t>Элемент</t>
        </is>
      </c>
      <c r="B1" s="8" t="inlineStr">
        <is>
          <t>Средний балл</t>
        </is>
      </c>
      <c r="C1" s="8" t="inlineStr">
        <is>
          <t>Вывод</t>
        </is>
      </c>
      <c r="D1" s="8" t="inlineStr">
        <is>
          <t>Признак наличия (со страницы)</t>
        </is>
      </c>
      <c r="E1" s="8" t="inlineStr">
        <is>
          <t>Признак отсутствия</t>
        </is>
      </c>
    </row>
    <row r="2">
      <c r="A2" s="9" t="inlineStr">
        <is>
          <t>Пример руководства</t>
        </is>
      </c>
      <c r="B2" s="9">
        <f>IFERROR(ROUND(AVERAGEIF('Ответы'!B4:B15,A2,'Ответы'!AR4:AR15),1),"")</f>
        <v/>
      </c>
      <c r="C2" s="9">
        <f>IF(B2="","нет ответов",IF(B2&gt;=4,"признак наличия",IF(B2&gt;=3,"зона внимания","признак отсутствия")))</f>
        <v/>
      </c>
      <c r="D2" s="9" t="inlineStr">
        <is>
          <t>Первое лицо само задает вопросы о рисках при обсуждении решений</t>
        </is>
      </c>
      <c r="E2" s="9" t="inlineStr">
        <is>
          <t>Риски упоминаются только на профильном комитете</t>
        </is>
      </c>
    </row>
    <row r="3">
      <c r="A3" s="9" t="inlineStr">
        <is>
          <t>Открытость</t>
        </is>
      </c>
      <c r="B3" s="9">
        <f>IFERROR(ROUND(AVERAGEIF('Ответы'!B4:B15,A3,'Ответы'!AR4:AR15),1),"")</f>
        <v/>
      </c>
      <c r="C3" s="9">
        <f>IF(B3="","нет ответов",IF(B3&gt;=4,"признак наличия",IF(B3&gt;=3,"зона внимания","признак отсутствия")))</f>
        <v/>
      </c>
      <c r="D3" s="9" t="inlineStr">
        <is>
          <t>Сотрудники сообщают о проблемах и ошибках без опасений</t>
        </is>
      </c>
      <c r="E3" s="9" t="inlineStr">
        <is>
          <t>Проблемы всплывают на этапе, когда их уже нельзя скрыть</t>
        </is>
      </c>
    </row>
    <row r="4">
      <c r="A4" s="9" t="inlineStr">
        <is>
          <t>Подотчетность</t>
        </is>
      </c>
      <c r="B4" s="9">
        <f>IFERROR(ROUND(AVERAGEIF('Ответы'!B4:B15,A4,'Ответы'!AR4:AR15),1),"")</f>
        <v/>
      </c>
      <c r="C4" s="9">
        <f>IF(B4="","нет ответов",IF(B4&gt;=4,"признак наличия",IF(B4&gt;=3,"зона внимания","признак отсутствия")))</f>
        <v/>
      </c>
      <c r="D4" s="9" t="inlineStr">
        <is>
          <t>Решения о принятии риска фиксируются письменно с фамилией</t>
        </is>
      </c>
      <c r="E4" s="9" t="inlineStr">
        <is>
          <t>Ответственность за неудачное решение размывается</t>
        </is>
      </c>
    </row>
    <row r="5">
      <c r="A5" s="9" t="inlineStr">
        <is>
          <t>Компетентность</t>
        </is>
      </c>
      <c r="B5" s="9">
        <f>IFERROR(ROUND(AVERAGEIF('Ответы'!B4:B15,A5,'Ответы'!AR4:AR15),1),"")</f>
        <v/>
      </c>
      <c r="C5" s="9">
        <f>IF(B5="","нет ответов",IF(B5&gt;=4,"признак наличия",IF(B5&gt;=3,"зона внимания","признак отсутствия")))</f>
        <v/>
      </c>
      <c r="D5" s="9" t="inlineStr">
        <is>
          <t>Руководители понимают методологию и пользуются ею в работе</t>
        </is>
      </c>
      <c r="E5" s="9" t="inlineStr">
        <is>
          <t>Оценки заполняет служба рисков за подразделения</t>
        </is>
      </c>
    </row>
    <row r="7">
      <c r="A7" s="5" t="inlineStr">
        <is>
          <t>Опрос — один из трех источников. Сверяйте его с наблюдаемыми показателями и разбором кейсов: каждый элемент подтверждается фактами.</t>
        </is>
      </c>
    </row>
  </sheetData>
  <conditionalFormatting sqref="C2:C5">
    <cfRule type="expression" priority="1" dxfId="0">
      <formula>ISNUMBER(SEARCH("отсутствия",C2))</formula>
    </cfRule>
    <cfRule type="expression" priority="2" dxfId="1">
      <formula>ISNUMBER(SEARCH("внимания",C2))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14" customWidth="1" min="3" max="3"/>
    <col width="14" customWidth="1" min="4" max="4"/>
    <col width="16" customWidth="1" min="5" max="5"/>
  </cols>
  <sheetData>
    <row r="1" ht="44" customHeight="1">
      <c r="A1" s="2" t="inlineStr">
        <is>
          <t>Показатель</t>
        </is>
      </c>
      <c r="B1" s="2" t="inlineStr">
        <is>
          <t>Как считать</t>
        </is>
      </c>
      <c r="C1" s="2" t="inlineStr">
        <is>
          <t>Прошлый период</t>
        </is>
      </c>
      <c r="D1" s="2" t="inlineStr">
        <is>
          <t>Текущий период</t>
        </is>
      </c>
      <c r="E1" s="2" t="inlineStr">
        <is>
          <t>Динамика</t>
        </is>
      </c>
    </row>
    <row r="2">
      <c r="A2" s="3" t="inlineStr">
        <is>
          <t>Сообщения о происшествиях и почти происшествиях</t>
        </is>
      </c>
      <c r="B2" s="3" t="inlineStr">
        <is>
          <t>Число сообщений за период</t>
        </is>
      </c>
      <c r="C2" s="4" t="inlineStr"/>
      <c r="D2" s="4" t="inlineStr"/>
      <c r="E2" s="3">
        <f>IF(OR(C2="",D2=""),"",IF(D2&gt;C2,"рост",IF(D2&lt;C2,"снижение","без изменений")))</f>
        <v/>
      </c>
    </row>
    <row r="3">
      <c r="A3" s="3" t="inlineStr">
        <is>
          <t>Доля рисков с обновленной оценкой</t>
        </is>
      </c>
      <c r="B3" s="3" t="inlineStr">
        <is>
          <t>Риски с оценкой не старше квартала / все риски реестра, %</t>
        </is>
      </c>
      <c r="C3" s="4" t="inlineStr"/>
      <c r="D3" s="4" t="inlineStr"/>
      <c r="E3" s="3">
        <f>IF(OR(C3="",D3=""),"",IF(D3&gt;C3,"рост",IF(D3&lt;C3,"снижение","без изменений")))</f>
        <v/>
      </c>
    </row>
    <row r="4">
      <c r="A4" s="3" t="inlineStr">
        <is>
          <t>Время от возникновения проблемы до информирования руководства</t>
        </is>
      </c>
      <c r="B4" s="3" t="inlineStr">
        <is>
          <t>Медиана по разобранным случаям, дней</t>
        </is>
      </c>
      <c r="C4" s="4" t="inlineStr"/>
      <c r="D4" s="4" t="inlineStr"/>
      <c r="E4" s="3">
        <f>IF(OR(C4="",D4=""),"",IF(D4&gt;C4,"рост",IF(D4&lt;C4,"снижение","без изменений")))</f>
        <v/>
      </c>
    </row>
    <row r="5">
      <c r="A5" s="3" t="inlineStr">
        <is>
          <t>Доля решений с зафиксированной оценкой риска</t>
        </is>
      </c>
      <c r="B5" s="3" t="inlineStr">
        <is>
          <t>Решения правления с разделом о рисках / все решения, %</t>
        </is>
      </c>
      <c r="C5" s="4" t="inlineStr"/>
      <c r="D5" s="4" t="inlineStr"/>
      <c r="E5" s="3">
        <f>IF(OR(C5="",D5=""),"",IF(D5&gt;C5,"рост",IF(D5&lt;C5,"снижение","без изменений")))</f>
        <v/>
      </c>
    </row>
    <row r="7">
      <c r="A7" s="5" t="inlineStr">
        <is>
          <t>Рост сообщений о почти происшествиях обычно хороший знак: люди перестали бояться сообщать. Время до информирования руководства должно снижаться.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22" customWidth="1" min="4" max="4"/>
    <col width="40" customWidth="1" min="5" max="5"/>
  </cols>
  <sheetData>
    <row r="1" ht="54" customHeight="1">
      <c r="A1" s="1" t="inlineStr">
        <is>
          <t>Три-четыре реальные ситуации за год и реакция компании на них. Это самый честный измеритель риск-культуры.</t>
        </is>
      </c>
    </row>
    <row r="3" ht="44" customHeight="1">
      <c r="A3" s="2" t="inlineStr">
        <is>
          <t>№</t>
        </is>
      </c>
      <c r="B3" s="2" t="inlineStr">
        <is>
          <t>Ситуация за год</t>
        </is>
      </c>
      <c r="C3" s="2" t="inlineStr">
        <is>
          <t>Как компания отреагировала</t>
        </is>
      </c>
      <c r="D3" s="2" t="inlineStr">
        <is>
          <t>Какой элемент проявился</t>
        </is>
      </c>
      <c r="E3" s="2" t="inlineStr">
        <is>
          <t>Вывод</t>
        </is>
      </c>
    </row>
    <row r="4">
      <c r="A4" s="3" t="n">
        <v>1</v>
      </c>
      <c r="B4" s="3" t="inlineStr"/>
      <c r="C4" s="3" t="inlineStr"/>
      <c r="D4" s="3" t="inlineStr"/>
      <c r="E4" s="3" t="inlineStr"/>
    </row>
    <row r="5">
      <c r="A5" s="3" t="n">
        <v>2</v>
      </c>
      <c r="B5" s="3" t="inlineStr"/>
      <c r="C5" s="3" t="inlineStr"/>
      <c r="D5" s="3" t="inlineStr"/>
      <c r="E5" s="3" t="inlineStr"/>
    </row>
    <row r="6">
      <c r="A6" s="3" t="n">
        <v>3</v>
      </c>
      <c r="B6" s="3" t="inlineStr"/>
      <c r="C6" s="3" t="inlineStr"/>
      <c r="D6" s="3" t="inlineStr"/>
      <c r="E6" s="3" t="inlineStr"/>
    </row>
    <row r="7">
      <c r="A7" s="3" t="n">
        <v>4</v>
      </c>
      <c r="B7" s="3" t="inlineStr"/>
      <c r="C7" s="3" t="inlineStr"/>
      <c r="D7" s="3" t="inlineStr"/>
      <c r="E7" s="3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Шаблон подготовлен risk-place.ru. Свободное использование внутри организации. Версия от 23.10.2026.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2026-10-23T12:53:37Z</dcterms:created>
  <dcterms:modified xmlns:dcterms="http://purl.org/dc/terms/" xmlns:xsi="http://www.w3.org/2001/XMLSchema-instance" xsi:type="dcterms:W3CDTF">2026-10-23T12:53:37Z</dcterms:modified>
</cp:coreProperties>
</file>